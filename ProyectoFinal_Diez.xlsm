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0.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Admin\Documents\Carpetas\Carrera Data Analytics Coder House\Proyecto final\"/>
    </mc:Choice>
  </mc:AlternateContent>
  <xr:revisionPtr revIDLastSave="0" documentId="13_ncr:1_{49D4BD46-5A99-4631-9A87-04C1EF948116}" xr6:coauthVersionLast="47" xr6:coauthVersionMax="47" xr10:uidLastSave="{00000000-0000-0000-0000-000000000000}"/>
  <bookViews>
    <workbookView xWindow="-120" yWindow="-120" windowWidth="29040" windowHeight="15720" tabRatio="802" xr2:uid="{D3A5312C-BDD6-4EC2-B008-809899C3B439}"/>
  </bookViews>
  <sheets>
    <sheet name="Índice" sheetId="18" r:id="rId1"/>
    <sheet name="Storytelling" sheetId="2" r:id="rId2"/>
    <sheet name="Dataset original" sheetId="1" r:id="rId3"/>
    <sheet name="Dataset" sheetId="14" r:id="rId4"/>
    <sheet name="Preguntas y respuestas" sheetId="4" r:id="rId5"/>
    <sheet name="Auxiliar" sheetId="13" r:id="rId6"/>
    <sheet name="Tablas dinámicas" sheetId="20" r:id="rId7"/>
    <sheet name="Dashboard" sheetId="19" r:id="rId8"/>
    <sheet name="Anotaciones personales" sheetId="9" state="hidden" r:id="rId9"/>
  </sheets>
  <definedNames>
    <definedName name="_xlnm._FilterDatabase" localSheetId="4" hidden="1">'Preguntas y respuestas'!$O$14:$P$29</definedName>
    <definedName name="_xlcn.WorksheetConnection_Proyectofinal_Diez.xlsmBase_ventas1" hidden="1">Base_ventas[]</definedName>
    <definedName name="DatosExternos_1" localSheetId="3" hidden="1">Dataset!$A$3:$K$503</definedName>
    <definedName name="SegmentaciónDeDatos_Categoría">#N/A</definedName>
    <definedName name="SegmentaciónDeDatos_Ubicación">#N/A</definedName>
    <definedName name="Timeline_Fecha_venta">#N/A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s>
  <extLst>
    <ext xmlns:x14="http://schemas.microsoft.com/office/spreadsheetml/2009/9/main" uri="{876F7934-8845-4945-9796-88D515C7AA90}">
      <x14:pivotCaches>
        <pivotCache cacheId="8"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9" r:id="rId21"/>
      </x15:timelineCachePivotCaches>
    </ext>
    <ext xmlns:x15="http://schemas.microsoft.com/office/spreadsheetml/2010/11/main" uri="{D0CA8CA8-9F24-4464-BF8E-62219DCF47F9}">
      <x15:timelineCacheRefs>
        <x15:timelineCacheRef r:id="rId22"/>
      </x15:timelineCacheRefs>
    </ext>
    <ext xmlns:x15="http://schemas.microsoft.com/office/spreadsheetml/2010/11/main" uri="{FCE2AD5D-F65C-4FA6-A056-5C36A1767C68}">
      <x15:dataModel>
        <x15:modelTables>
          <x15:modelTable id="Base_ventas" name="Base_ventas" connection="WorksheetConnection_Proyectofinal_Diez.xlsm!Base_ventas"/>
        </x15:modelTables>
        <x15:extLst>
          <ext xmlns:x16="http://schemas.microsoft.com/office/spreadsheetml/2014/11/main" uri="{9835A34E-60A6-4A7C-AAB8-D5F71C897F49}">
            <x16:modelTimeGroupings>
              <x16:modelTimeGrouping tableName="Base_ventas" columnName="Fecha_venta" columnId="Fecha_venta">
                <x16:calculatedTimeColumn columnName="Fecha_venta (índice de meses)" columnId="Fecha_venta (índice de meses)" contentType="monthsindex" isSelected="1"/>
                <x16:calculatedTimeColumn columnName="Fecha_venta (mes)" columnId="Fecha_venta (me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14" l="1"/>
  <c r="L5" i="14"/>
  <c r="L6" i="14"/>
  <c r="L7" i="14"/>
  <c r="L8" i="14"/>
  <c r="L9" i="14"/>
  <c r="L10" i="14"/>
  <c r="L11" i="14"/>
  <c r="L12" i="14"/>
  <c r="L13" i="14"/>
  <c r="L14" i="14"/>
  <c r="L15" i="14"/>
  <c r="L16" i="14"/>
  <c r="L17" i="14"/>
  <c r="L18" i="14"/>
  <c r="L19" i="14"/>
  <c r="L20" i="14"/>
  <c r="L21" i="14"/>
  <c r="L22" i="14"/>
  <c r="L23" i="14"/>
  <c r="L24" i="14"/>
  <c r="L25" i="14"/>
  <c r="L26" i="14"/>
  <c r="L27" i="14"/>
  <c r="L28" i="14"/>
  <c r="L29" i="14"/>
  <c r="L30" i="14"/>
  <c r="L31" i="14"/>
  <c r="L32" i="14"/>
  <c r="L33" i="14"/>
  <c r="L34" i="14"/>
  <c r="L35" i="14"/>
  <c r="L36" i="14"/>
  <c r="L37" i="14"/>
  <c r="L38" i="14"/>
  <c r="L39" i="14"/>
  <c r="L40" i="14"/>
  <c r="L41" i="14"/>
  <c r="L42" i="14"/>
  <c r="L43" i="14"/>
  <c r="L44" i="14"/>
  <c r="L45" i="14"/>
  <c r="L46" i="14"/>
  <c r="L47" i="14"/>
  <c r="L48" i="14"/>
  <c r="L49" i="14"/>
  <c r="L50" i="14"/>
  <c r="L51" i="14"/>
  <c r="L52" i="14"/>
  <c r="L53" i="14"/>
  <c r="L54" i="14"/>
  <c r="L55" i="14"/>
  <c r="L56" i="14"/>
  <c r="L57" i="14"/>
  <c r="L58" i="14"/>
  <c r="L59" i="14"/>
  <c r="L60" i="14"/>
  <c r="L61" i="14"/>
  <c r="L62" i="14"/>
  <c r="L63" i="14"/>
  <c r="L64" i="14"/>
  <c r="L65" i="14"/>
  <c r="L66" i="14"/>
  <c r="L67" i="14"/>
  <c r="L68" i="14"/>
  <c r="L69" i="14"/>
  <c r="L70" i="14"/>
  <c r="L71" i="14"/>
  <c r="L72" i="14"/>
  <c r="L73" i="14"/>
  <c r="L74" i="14"/>
  <c r="L75" i="14"/>
  <c r="L76" i="14"/>
  <c r="L77" i="14"/>
  <c r="L78" i="14"/>
  <c r="L79" i="14"/>
  <c r="L80" i="14"/>
  <c r="L81" i="14"/>
  <c r="L82" i="14"/>
  <c r="L83" i="14"/>
  <c r="L84" i="14"/>
  <c r="L85" i="14"/>
  <c r="L86" i="14"/>
  <c r="L87" i="14"/>
  <c r="L88" i="14"/>
  <c r="L89" i="14"/>
  <c r="L90" i="14"/>
  <c r="L91" i="14"/>
  <c r="L92" i="14"/>
  <c r="L93" i="14"/>
  <c r="L94" i="14"/>
  <c r="L95" i="14"/>
  <c r="L96" i="14"/>
  <c r="L97" i="14"/>
  <c r="L98" i="14"/>
  <c r="L99" i="14"/>
  <c r="L100" i="14"/>
  <c r="L101" i="14"/>
  <c r="L102" i="14"/>
  <c r="L103" i="14"/>
  <c r="L104" i="14"/>
  <c r="L105" i="14"/>
  <c r="L106" i="14"/>
  <c r="L107" i="14"/>
  <c r="L108" i="14"/>
  <c r="L109" i="14"/>
  <c r="L110" i="14"/>
  <c r="L111" i="14"/>
  <c r="L112" i="14"/>
  <c r="L113" i="14"/>
  <c r="L114" i="14"/>
  <c r="L115" i="14"/>
  <c r="L116" i="14"/>
  <c r="L117" i="14"/>
  <c r="L118" i="14"/>
  <c r="L119" i="14"/>
  <c r="L120" i="14"/>
  <c r="L121" i="14"/>
  <c r="L122" i="14"/>
  <c r="L123" i="14"/>
  <c r="L124" i="14"/>
  <c r="L125" i="14"/>
  <c r="L126" i="14"/>
  <c r="L127" i="14"/>
  <c r="L128" i="14"/>
  <c r="L129" i="14"/>
  <c r="L130" i="14"/>
  <c r="L131" i="14"/>
  <c r="L132" i="14"/>
  <c r="L133" i="14"/>
  <c r="L134" i="14"/>
  <c r="L135" i="14"/>
  <c r="L136" i="14"/>
  <c r="L137" i="14"/>
  <c r="L138" i="14"/>
  <c r="L139" i="14"/>
  <c r="L140" i="14"/>
  <c r="L141" i="14"/>
  <c r="L142" i="14"/>
  <c r="L143" i="14"/>
  <c r="L144" i="14"/>
  <c r="L145" i="14"/>
  <c r="L146" i="14"/>
  <c r="L147" i="14"/>
  <c r="L148" i="14"/>
  <c r="L149" i="14"/>
  <c r="L150" i="14"/>
  <c r="L151" i="14"/>
  <c r="L152" i="14"/>
  <c r="L153" i="14"/>
  <c r="L154" i="14"/>
  <c r="L155" i="14"/>
  <c r="L156" i="14"/>
  <c r="L157" i="14"/>
  <c r="L158" i="14"/>
  <c r="L159" i="14"/>
  <c r="L160" i="14"/>
  <c r="L161" i="14"/>
  <c r="L162" i="14"/>
  <c r="L163" i="14"/>
  <c r="L164" i="14"/>
  <c r="L165" i="14"/>
  <c r="L166" i="14"/>
  <c r="L167" i="14"/>
  <c r="L168" i="14"/>
  <c r="L169" i="14"/>
  <c r="L170" i="14"/>
  <c r="L171" i="14"/>
  <c r="L172" i="14"/>
  <c r="L173" i="14"/>
  <c r="L174" i="14"/>
  <c r="L175" i="14"/>
  <c r="L176" i="14"/>
  <c r="L177" i="14"/>
  <c r="L178" i="14"/>
  <c r="L179" i="14"/>
  <c r="L180" i="14"/>
  <c r="L181" i="14"/>
  <c r="L182" i="14"/>
  <c r="L183" i="14"/>
  <c r="L184" i="14"/>
  <c r="L185" i="14"/>
  <c r="L186" i="14"/>
  <c r="L187" i="14"/>
  <c r="L188" i="14"/>
  <c r="L189" i="14"/>
  <c r="L190" i="14"/>
  <c r="L191" i="14"/>
  <c r="L192" i="14"/>
  <c r="L193" i="14"/>
  <c r="L194" i="14"/>
  <c r="L195" i="14"/>
  <c r="L196" i="14"/>
  <c r="L197" i="14"/>
  <c r="L198" i="14"/>
  <c r="L199" i="14"/>
  <c r="L200" i="14"/>
  <c r="L201" i="14"/>
  <c r="L202" i="14"/>
  <c r="L203" i="14"/>
  <c r="L204" i="14"/>
  <c r="L205" i="14"/>
  <c r="L206" i="14"/>
  <c r="L207" i="14"/>
  <c r="L208" i="14"/>
  <c r="L209" i="14"/>
  <c r="L210" i="14"/>
  <c r="L211" i="14"/>
  <c r="L212" i="14"/>
  <c r="L213" i="14"/>
  <c r="L214" i="14"/>
  <c r="L215" i="14"/>
  <c r="L216" i="14"/>
  <c r="L217" i="14"/>
  <c r="L218" i="14"/>
  <c r="L219" i="14"/>
  <c r="L220" i="14"/>
  <c r="L221" i="14"/>
  <c r="L222" i="14"/>
  <c r="L223" i="14"/>
  <c r="L224" i="14"/>
  <c r="L225" i="14"/>
  <c r="L226" i="14"/>
  <c r="L227" i="14"/>
  <c r="L228" i="14"/>
  <c r="L229" i="14"/>
  <c r="L230" i="14"/>
  <c r="L231" i="14"/>
  <c r="L232" i="14"/>
  <c r="L233" i="14"/>
  <c r="L234" i="14"/>
  <c r="L235" i="14"/>
  <c r="L236" i="14"/>
  <c r="L237" i="14"/>
  <c r="L238" i="14"/>
  <c r="L239" i="14"/>
  <c r="L240" i="14"/>
  <c r="L241" i="14"/>
  <c r="L242" i="14"/>
  <c r="L243" i="14"/>
  <c r="L244" i="14"/>
  <c r="L245" i="14"/>
  <c r="L246" i="14"/>
  <c r="L247" i="14"/>
  <c r="L248" i="14"/>
  <c r="L249" i="14"/>
  <c r="L250" i="14"/>
  <c r="L251" i="14"/>
  <c r="L252" i="14"/>
  <c r="L253" i="14"/>
  <c r="L254" i="14"/>
  <c r="L255" i="14"/>
  <c r="L256" i="14"/>
  <c r="L257" i="14"/>
  <c r="L258" i="14"/>
  <c r="L259" i="14"/>
  <c r="L260" i="14"/>
  <c r="L261" i="14"/>
  <c r="L262" i="14"/>
  <c r="L263" i="14"/>
  <c r="L264" i="14"/>
  <c r="L265" i="14"/>
  <c r="L266" i="14"/>
  <c r="L267" i="14"/>
  <c r="L268" i="14"/>
  <c r="L269" i="14"/>
  <c r="L270" i="14"/>
  <c r="L271" i="14"/>
  <c r="L272" i="14"/>
  <c r="L273" i="14"/>
  <c r="L274" i="14"/>
  <c r="L275" i="14"/>
  <c r="L276" i="14"/>
  <c r="L277" i="14"/>
  <c r="L278" i="14"/>
  <c r="L279" i="14"/>
  <c r="L280" i="14"/>
  <c r="L281" i="14"/>
  <c r="L282" i="14"/>
  <c r="L283" i="14"/>
  <c r="L284" i="14"/>
  <c r="L285" i="14"/>
  <c r="L286" i="14"/>
  <c r="L287" i="14"/>
  <c r="L288" i="14"/>
  <c r="L289" i="14"/>
  <c r="L290" i="14"/>
  <c r="L291" i="14"/>
  <c r="L292" i="14"/>
  <c r="L293" i="14"/>
  <c r="L294" i="14"/>
  <c r="L295" i="14"/>
  <c r="L296" i="14"/>
  <c r="L297" i="14"/>
  <c r="L298" i="14"/>
  <c r="L299" i="14"/>
  <c r="L300" i="14"/>
  <c r="L301" i="14"/>
  <c r="L302" i="14"/>
  <c r="L303" i="14"/>
  <c r="L304" i="14"/>
  <c r="L305" i="14"/>
  <c r="L306" i="14"/>
  <c r="L307" i="14"/>
  <c r="L308" i="14"/>
  <c r="L309" i="14"/>
  <c r="L310" i="14"/>
  <c r="L311" i="14"/>
  <c r="L312" i="14"/>
  <c r="L313" i="14"/>
  <c r="L314" i="14"/>
  <c r="L315" i="14"/>
  <c r="L316" i="14"/>
  <c r="L317" i="14"/>
  <c r="L318" i="14"/>
  <c r="L319" i="14"/>
  <c r="L320" i="14"/>
  <c r="L321" i="14"/>
  <c r="L322" i="14"/>
  <c r="L323" i="14"/>
  <c r="L324" i="14"/>
  <c r="L325" i="14"/>
  <c r="L326" i="14"/>
  <c r="L327" i="14"/>
  <c r="L328" i="14"/>
  <c r="L329" i="14"/>
  <c r="L330" i="14"/>
  <c r="L331" i="14"/>
  <c r="L332" i="14"/>
  <c r="L333" i="14"/>
  <c r="L334" i="14"/>
  <c r="L335" i="14"/>
  <c r="L336" i="14"/>
  <c r="L337" i="14"/>
  <c r="L338" i="14"/>
  <c r="L339" i="14"/>
  <c r="L340" i="14"/>
  <c r="L341" i="14"/>
  <c r="L342" i="14"/>
  <c r="L343" i="14"/>
  <c r="L344" i="14"/>
  <c r="L345" i="14"/>
  <c r="L346" i="14"/>
  <c r="L347" i="14"/>
  <c r="L348" i="14"/>
  <c r="L349" i="14"/>
  <c r="L350" i="14"/>
  <c r="L351" i="14"/>
  <c r="L352" i="14"/>
  <c r="L353" i="14"/>
  <c r="L354" i="14"/>
  <c r="L355" i="14"/>
  <c r="L356" i="14"/>
  <c r="L357" i="14"/>
  <c r="L358" i="14"/>
  <c r="L359" i="14"/>
  <c r="L360" i="14"/>
  <c r="L361" i="14"/>
  <c r="L362" i="14"/>
  <c r="L363" i="14"/>
  <c r="L364" i="14"/>
  <c r="L365" i="14"/>
  <c r="L366" i="14"/>
  <c r="L367" i="14"/>
  <c r="L368" i="14"/>
  <c r="L369" i="14"/>
  <c r="L370" i="14"/>
  <c r="L371" i="14"/>
  <c r="L372" i="14"/>
  <c r="L373" i="14"/>
  <c r="L374" i="14"/>
  <c r="L375" i="14"/>
  <c r="L376" i="14"/>
  <c r="L377" i="14"/>
  <c r="L378" i="14"/>
  <c r="L379" i="14"/>
  <c r="L380" i="14"/>
  <c r="L381" i="14"/>
  <c r="L382" i="14"/>
  <c r="L383" i="14"/>
  <c r="L384" i="14"/>
  <c r="L385" i="14"/>
  <c r="L386" i="14"/>
  <c r="L387" i="14"/>
  <c r="L388" i="14"/>
  <c r="L389" i="14"/>
  <c r="L390" i="14"/>
  <c r="L391" i="14"/>
  <c r="L392" i="14"/>
  <c r="L393" i="14"/>
  <c r="L394" i="14"/>
  <c r="L395" i="14"/>
  <c r="L396" i="14"/>
  <c r="L397" i="14"/>
  <c r="L398" i="14"/>
  <c r="L399" i="14"/>
  <c r="L400" i="14"/>
  <c r="L401" i="14"/>
  <c r="L402" i="14"/>
  <c r="L403" i="14"/>
  <c r="L404" i="14"/>
  <c r="L405" i="14"/>
  <c r="L406" i="14"/>
  <c r="L407" i="14"/>
  <c r="L408" i="14"/>
  <c r="L409" i="14"/>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39" i="14"/>
  <c r="L440" i="14"/>
  <c r="L441" i="14"/>
  <c r="L442" i="14"/>
  <c r="L443" i="14"/>
  <c r="L444" i="14"/>
  <c r="L445" i="14"/>
  <c r="L446" i="14"/>
  <c r="L447" i="14"/>
  <c r="L448" i="14"/>
  <c r="L449" i="14"/>
  <c r="L450" i="14"/>
  <c r="L451" i="14"/>
  <c r="L452" i="14"/>
  <c r="L453" i="14"/>
  <c r="L454" i="14"/>
  <c r="L455" i="14"/>
  <c r="L456" i="14"/>
  <c r="L457" i="14"/>
  <c r="L458" i="14"/>
  <c r="L459" i="14"/>
  <c r="L460" i="14"/>
  <c r="L461" i="14"/>
  <c r="L462" i="14"/>
  <c r="L463" i="14"/>
  <c r="L464" i="14"/>
  <c r="L465" i="14"/>
  <c r="L466" i="14"/>
  <c r="L467" i="14"/>
  <c r="L468" i="14"/>
  <c r="L469" i="14"/>
  <c r="L470" i="14"/>
  <c r="L471" i="14"/>
  <c r="L472" i="14"/>
  <c r="L473" i="14"/>
  <c r="L474" i="14"/>
  <c r="L475" i="14"/>
  <c r="L476" i="14"/>
  <c r="L477" i="14"/>
  <c r="L478" i="14"/>
  <c r="L479" i="14"/>
  <c r="L480" i="14"/>
  <c r="L481" i="14"/>
  <c r="L482" i="14"/>
  <c r="L483" i="14"/>
  <c r="L484" i="14"/>
  <c r="L485" i="14"/>
  <c r="L486" i="14"/>
  <c r="L487" i="14"/>
  <c r="L488" i="14"/>
  <c r="L489" i="14"/>
  <c r="L490" i="14"/>
  <c r="L491" i="14"/>
  <c r="L492" i="14"/>
  <c r="L493" i="14"/>
  <c r="L494" i="14"/>
  <c r="L495" i="14"/>
  <c r="L496" i="14"/>
  <c r="L497" i="14"/>
  <c r="L498" i="14"/>
  <c r="L499" i="14"/>
  <c r="L500" i="14"/>
  <c r="L501" i="14"/>
  <c r="L502" i="14"/>
  <c r="L503" i="14"/>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P15" i="4"/>
  <c r="H5" i="20"/>
  <c r="B5" i="20"/>
  <c r="D5" i="20"/>
  <c r="F5" i="20"/>
  <c r="L39" i="4"/>
  <c r="L32" i="4"/>
  <c r="L15" i="4"/>
  <c r="L7" i="4"/>
  <c r="L12" i="4"/>
  <c r="N12" i="4"/>
  <c r="M12" i="4"/>
  <c r="L46" i="4"/>
  <c r="L42" i="4"/>
  <c r="P46" i="4" l="1"/>
  <c r="P42" i="4"/>
  <c r="P43" i="4"/>
  <c r="P35" i="4"/>
  <c r="P36" i="4"/>
  <c r="P33" i="4"/>
  <c r="P32" i="4"/>
  <c r="P34" i="4"/>
  <c r="O39" i="4"/>
  <c r="P29" i="4"/>
  <c r="P28" i="4"/>
  <c r="P27" i="4"/>
  <c r="P26" i="4"/>
  <c r="P25" i="4"/>
  <c r="P24" i="4"/>
  <c r="P23" i="4"/>
  <c r="P22" i="4"/>
  <c r="P21" i="4"/>
  <c r="P20" i="4"/>
  <c r="P19" i="4"/>
  <c r="P18" i="4"/>
  <c r="P17" i="4"/>
  <c r="P16" i="4"/>
  <c r="P12" i="4"/>
  <c r="O12" i="4"/>
  <c r="Q12" i="4" s="1"/>
  <c r="P9" i="4"/>
  <c r="P8" i="4"/>
  <c r="P7"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D760DA0-219A-4AF9-9C77-7A61E2EA5E43}" keepAlive="1" name="Consulta - ventas_ficticias" description="Conexión a la consulta 'ventas_ficticias' en el libro." type="5" refreshedVersion="8" background="1" saveData="1">
    <dbPr connection="Provider=Microsoft.Mashup.OleDb.1;Data Source=$Workbook$;Location=ventas_ficticias;Extended Properties=&quot;&quot;" command="SELECT * FROM [ventas_ficticias]"/>
  </connection>
  <connection id="2" xr16:uid="{DB409E23-5B8D-4090-9852-6BC30D2415E5}" keepAlive="1" name="Consulta - ventas_ficticias_2024_argentina_pesos" description="Conexión a la consulta 'ventas_ficticias_2024_argentina_pesos' en el libro." type="5" refreshedVersion="8" background="1" saveData="1">
    <dbPr connection="Provider=Microsoft.Mashup.OleDb.1;Data Source=$Workbook$;Location=ventas_ficticias_2024_argentina_pesos;Extended Properties=&quot;&quot;" command="SELECT * FROM [ventas_ficticias_2024_argentina_pesos]"/>
  </connection>
  <connection id="3" xr16:uid="{9BDB07ED-9C5C-47CF-B486-059850A6DD37}" keepAlive="1" name="Consulta - ventas_ficticias_2024_fecha_id" description="Conexión a la consulta 'ventas_ficticias_2024_fecha_id' en el libro." type="5" refreshedVersion="0" background="1">
    <dbPr connection="Provider=Microsoft.Mashup.OleDb.1;Data Source=$Workbook$;Location=ventas_ficticias_2024_fecha_id;Extended Properties=&quot;&quot;" command="SELECT * FROM [ventas_ficticias_2024_fecha_id]"/>
  </connection>
  <connection id="4" xr16:uid="{57C35919-7E93-4AC0-82CE-48E54D112CD8}" keepAlive="1" name="Consulta - ventas_ficticias_2024_fecha_id_random" description="Conexión a la consulta 'ventas_ficticias_2024_fecha_id_random' en el libro." type="5" refreshedVersion="0" background="1">
    <dbPr connection="Provider=Microsoft.Mashup.OleDb.1;Data Source=$Workbook$;Location=ventas_ficticias_2024_fecha_id_random;Extended Properties=&quot;&quot;" command="SELECT * FROM [ventas_ficticias_2024_fecha_id_random]"/>
  </connection>
  <connection id="5" xr16:uid="{1A071A5C-9891-4318-8C54-D282AA9BA1D8}" keepAlive="1" name="Consulta - ventas_ficticias_2024_random" description="Conexión a la consulta 'ventas_ficticias_2024_random' en el libro." type="5" refreshedVersion="0" background="1">
    <dbPr connection="Provider=Microsoft.Mashup.OleDb.1;Data Source=$Workbook$;Location=ventas_ficticias_2024_random;Extended Properties=&quot;&quot;" command="SELECT * FROM [ventas_ficticias_2024_random]"/>
  </connection>
  <connection id="6" xr16:uid="{E07A2376-6BB4-4562-A679-D3EBD595A22B}" keepAlive="1" name="Consulta - ventas_ficticias_2024_random (2)" description="Conexión a la consulta 'ventas_ficticias_2024_random (2)' en el libro." type="5" refreshedVersion="0" background="1">
    <dbPr connection="Provider=Microsoft.Mashup.OleDb.1;Data Source=$Workbook$;Location=&quot;ventas_ficticias_2024_random (2)&quot;;Extended Properties=&quot;&quot;" command="SELECT * FROM [ventas_ficticias_2024_random (2)]"/>
  </connection>
  <connection id="7" xr16:uid="{7272C253-7BD1-493F-A6D8-3D495D25A396}" keepAlive="1" name="Consulta - ventas_ficticias_con_mas_productos" description="Conexión a la consulta 'ventas_ficticias_con_mas_productos' en el libro." type="5" refreshedVersion="8" background="1" saveData="1">
    <dbPr connection="Provider=Microsoft.Mashup.OleDb.1;Data Source=$Workbook$;Location=ventas_ficticias_con_mas_productos;Extended Properties=&quot;&quot;" command="SELECT * FROM [ventas_ficticias_con_mas_productos]"/>
  </connection>
  <connection id="8" xr16:uid="{6782F1D5-1BCB-445A-BD27-C540778A7858}" keepAlive="1" name="Consulta - ventas_ficticias_solo_una_semana" description="Conexión a la consulta 'ventas_ficticias_solo_una_semana' en el libro." type="5" refreshedVersion="0" background="1">
    <dbPr connection="Provider=Microsoft.Mashup.OleDb.1;Data Source=$Workbook$;Location=ventas_ficticias_solo_una_semana;Extended Properties=&quot;&quot;" command="SELECT * FROM [ventas_ficticias_solo_una_semana]"/>
  </connection>
  <connection id="9" xr16:uid="{D2FAB292-2A5D-4176-ACBB-B115895E1872}" keepAlive="1" name="Consulta - ventas_ficticias_una_semana" description="Conexión a la consulta 'ventas_ficticias_una_semana' en el libro." type="5" refreshedVersion="0" background="1">
    <dbPr connection="Provider=Microsoft.Mashup.OleDb.1;Data Source=$Workbook$;Location=ventas_ficticias_una_semana;Extended Properties=&quot;&quot;" command="SELECT * FROM [ventas_ficticias_una_semana]"/>
  </connection>
  <connection id="10" xr16:uid="{5B9047C5-DEA6-489D-90E4-BBDE40B0EC9A}"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1" xr16:uid="{84CC6CBF-450E-4A0B-90F7-E99D07137012}" name="WorksheetConnection_Proyectofinal_Diez.xlsm!Base_ventas" type="102" refreshedVersion="8" minRefreshableVersion="5">
    <extLst>
      <ext xmlns:x15="http://schemas.microsoft.com/office/spreadsheetml/2010/11/main" uri="{DE250136-89BD-433C-8126-D09CA5730AF9}">
        <x15:connection id="Base_ventas" autoDelete="1">
          <x15:rangePr sourceName="_xlcn.WorksheetConnection_Proyectofinal_Diez.xlsmBase_ventas1"/>
        </x15:connection>
      </ext>
    </extLst>
  </connection>
</connections>
</file>

<file path=xl/sharedStrings.xml><?xml version="1.0" encoding="utf-8"?>
<sst xmlns="http://schemas.openxmlformats.org/spreadsheetml/2006/main" count="3705" uniqueCount="1628">
  <si>
    <t>ID_venta</t>
  </si>
  <si>
    <t>Accesorios</t>
  </si>
  <si>
    <t>Efectivo</t>
  </si>
  <si>
    <t>Transferencia</t>
  </si>
  <si>
    <t>Tarjeta de crédito</t>
  </si>
  <si>
    <t>STORYTELLING</t>
  </si>
  <si>
    <t>Descubriendo el comportamiento del consumidor ante un hot sale en la web</t>
  </si>
  <si>
    <t>La situación</t>
  </si>
  <si>
    <t>La tarea</t>
  </si>
  <si>
    <t>Los objetivos</t>
  </si>
  <si>
    <t>Definir el propósito</t>
  </si>
  <si>
    <t>ID_cliente</t>
  </si>
  <si>
    <t>Fecha_venta</t>
  </si>
  <si>
    <t>Producto</t>
  </si>
  <si>
    <t>Categoría</t>
  </si>
  <si>
    <t>Precio_unitario</t>
  </si>
  <si>
    <t>Cantidad_vendida</t>
  </si>
  <si>
    <t>Total_venta</t>
  </si>
  <si>
    <t>Nombre_cliente</t>
  </si>
  <si>
    <t>Método_pago</t>
  </si>
  <si>
    <t>Ubicación</t>
  </si>
  <si>
    <t>V314</t>
  </si>
  <si>
    <t>Smartphone X</t>
  </si>
  <si>
    <t>Telefonía</t>
  </si>
  <si>
    <t>Tablet S</t>
  </si>
  <si>
    <t>Computación</t>
  </si>
  <si>
    <t>Laptop Pro</t>
  </si>
  <si>
    <t>V367</t>
  </si>
  <si>
    <t>Smartwatch Y</t>
  </si>
  <si>
    <t>V248</t>
  </si>
  <si>
    <t>Auriculares Z</t>
  </si>
  <si>
    <t>V318</t>
  </si>
  <si>
    <t>V176</t>
  </si>
  <si>
    <t>V084</t>
  </si>
  <si>
    <t>V056</t>
  </si>
  <si>
    <t>V480</t>
  </si>
  <si>
    <t>V031</t>
  </si>
  <si>
    <t>V265</t>
  </si>
  <si>
    <t>V239</t>
  </si>
  <si>
    <t>V060</t>
  </si>
  <si>
    <t>V162</t>
  </si>
  <si>
    <t>V221</t>
  </si>
  <si>
    <t>V109</t>
  </si>
  <si>
    <t>V321</t>
  </si>
  <si>
    <t>V184</t>
  </si>
  <si>
    <t>V477</t>
  </si>
  <si>
    <t>V094</t>
  </si>
  <si>
    <t>V473</t>
  </si>
  <si>
    <t>V034</t>
  </si>
  <si>
    <t>V242</t>
  </si>
  <si>
    <t>V387</t>
  </si>
  <si>
    <t>V485</t>
  </si>
  <si>
    <t>V177</t>
  </si>
  <si>
    <t>V127</t>
  </si>
  <si>
    <t>V323</t>
  </si>
  <si>
    <t>V065</t>
  </si>
  <si>
    <t>V442</t>
  </si>
  <si>
    <t>V022</t>
  </si>
  <si>
    <t>V423</t>
  </si>
  <si>
    <t>V256</t>
  </si>
  <si>
    <t>V112</t>
  </si>
  <si>
    <t>V073</t>
  </si>
  <si>
    <t>V231</t>
  </si>
  <si>
    <t>V120</t>
  </si>
  <si>
    <t>V349</t>
  </si>
  <si>
    <t>V291</t>
  </si>
  <si>
    <t>V444</t>
  </si>
  <si>
    <t>V194</t>
  </si>
  <si>
    <t>V055</t>
  </si>
  <si>
    <t>V189</t>
  </si>
  <si>
    <t>V300</t>
  </si>
  <si>
    <t>V224</t>
  </si>
  <si>
    <t>V449</t>
  </si>
  <si>
    <t>V062</t>
  </si>
  <si>
    <t>V074</t>
  </si>
  <si>
    <t>V478</t>
  </si>
  <si>
    <t>V451</t>
  </si>
  <si>
    <t>V297</t>
  </si>
  <si>
    <t>V179</t>
  </si>
  <si>
    <t>V396</t>
  </si>
  <si>
    <t>V188</t>
  </si>
  <si>
    <t>V491</t>
  </si>
  <si>
    <t>V180</t>
  </si>
  <si>
    <t>V455</t>
  </si>
  <si>
    <t>V481</t>
  </si>
  <si>
    <t>V341</t>
  </si>
  <si>
    <t>V336</t>
  </si>
  <si>
    <t>V257</t>
  </si>
  <si>
    <t>V372</t>
  </si>
  <si>
    <t>V460</t>
  </si>
  <si>
    <t>V168</t>
  </si>
  <si>
    <t>V006</t>
  </si>
  <si>
    <t>V461</t>
  </si>
  <si>
    <t>V207</t>
  </si>
  <si>
    <t>V121</t>
  </si>
  <si>
    <t>V118</t>
  </si>
  <si>
    <t>V310</t>
  </si>
  <si>
    <t>V400</t>
  </si>
  <si>
    <t>V462</t>
  </si>
  <si>
    <t>V464</t>
  </si>
  <si>
    <t>V445</t>
  </si>
  <si>
    <t>V425</t>
  </si>
  <si>
    <t>V329</t>
  </si>
  <si>
    <t>V364</t>
  </si>
  <si>
    <t>V353</t>
  </si>
  <si>
    <t>V137</t>
  </si>
  <si>
    <t>V266</t>
  </si>
  <si>
    <t>V089</t>
  </si>
  <si>
    <t>V133</t>
  </si>
  <si>
    <t>V327</t>
  </si>
  <si>
    <t>V216</t>
  </si>
  <si>
    <t>V095</t>
  </si>
  <si>
    <t>V492</t>
  </si>
  <si>
    <t>V132</t>
  </si>
  <si>
    <t>V487</t>
  </si>
  <si>
    <t>V412</t>
  </si>
  <si>
    <t>V366</t>
  </si>
  <si>
    <t>V357</t>
  </si>
  <si>
    <t>V361</t>
  </si>
  <si>
    <t>V315</t>
  </si>
  <si>
    <t>V382</t>
  </si>
  <si>
    <t>V249</t>
  </si>
  <si>
    <t>V232</t>
  </si>
  <si>
    <t>V103</t>
  </si>
  <si>
    <t>V158</t>
  </si>
  <si>
    <t>V166</t>
  </si>
  <si>
    <t>V428</t>
  </si>
  <si>
    <t>V012</t>
  </si>
  <si>
    <t>V199</t>
  </si>
  <si>
    <t>V269</t>
  </si>
  <si>
    <t>V250</t>
  </si>
  <si>
    <t>V192</t>
  </si>
  <si>
    <t>V252</t>
  </si>
  <si>
    <t>V402</t>
  </si>
  <si>
    <t>V271</t>
  </si>
  <si>
    <t>V298</t>
  </si>
  <si>
    <t>V203</t>
  </si>
  <si>
    <t>V395</t>
  </si>
  <si>
    <t>V319</t>
  </si>
  <si>
    <t>V307</t>
  </si>
  <si>
    <t>V365</t>
  </si>
  <si>
    <t>V048</t>
  </si>
  <si>
    <t>V369</t>
  </si>
  <si>
    <t>V247</t>
  </si>
  <si>
    <t>V097</t>
  </si>
  <si>
    <t>V474</t>
  </si>
  <si>
    <t>V161</t>
  </si>
  <si>
    <t>V171</t>
  </si>
  <si>
    <t>V170</t>
  </si>
  <si>
    <t>V220</t>
  </si>
  <si>
    <t>V096</t>
  </si>
  <si>
    <t>V409</t>
  </si>
  <si>
    <t>V104</t>
  </si>
  <si>
    <t>V390</t>
  </si>
  <si>
    <t>V493</t>
  </si>
  <si>
    <t>V370</t>
  </si>
  <si>
    <t>V183</t>
  </si>
  <si>
    <t>V081</t>
  </si>
  <si>
    <t>V443</t>
  </si>
  <si>
    <t>V301</t>
  </si>
  <si>
    <t>V139</t>
  </si>
  <si>
    <t>V142</t>
  </si>
  <si>
    <t>V498</t>
  </si>
  <si>
    <t>V376</t>
  </si>
  <si>
    <t>V326</t>
  </si>
  <si>
    <t>V092</t>
  </si>
  <si>
    <t>V342</t>
  </si>
  <si>
    <t>V463</t>
  </si>
  <si>
    <t>V075</t>
  </si>
  <si>
    <t>V146</t>
  </si>
  <si>
    <t>V413</t>
  </si>
  <si>
    <t>V496</t>
  </si>
  <si>
    <t>V174</t>
  </si>
  <si>
    <t>V023</t>
  </si>
  <si>
    <t>V240</t>
  </si>
  <si>
    <t>V253</t>
  </si>
  <si>
    <t>V105</t>
  </si>
  <si>
    <t>V013</t>
  </si>
  <si>
    <t>V432</t>
  </si>
  <si>
    <t>V479</t>
  </si>
  <si>
    <t>V448</t>
  </si>
  <si>
    <t>V435</t>
  </si>
  <si>
    <t>V276</t>
  </si>
  <si>
    <t>V260</t>
  </si>
  <si>
    <t>V475</t>
  </si>
  <si>
    <t>V061</t>
  </si>
  <si>
    <t>V015</t>
  </si>
  <si>
    <t>V002</t>
  </si>
  <si>
    <t>V238</t>
  </si>
  <si>
    <t>V223</t>
  </si>
  <si>
    <t>V046</t>
  </si>
  <si>
    <t>V035</t>
  </si>
  <si>
    <t>V234</t>
  </si>
  <si>
    <t>V016</t>
  </si>
  <si>
    <t>V362</t>
  </si>
  <si>
    <t>V215</t>
  </si>
  <si>
    <t>V082</t>
  </si>
  <si>
    <t>V452</t>
  </si>
  <si>
    <t>V311</t>
  </si>
  <si>
    <t>V036</t>
  </si>
  <si>
    <t>V129</t>
  </si>
  <si>
    <t>V431</t>
  </si>
  <si>
    <t>V330</t>
  </si>
  <si>
    <t>V107</t>
  </si>
  <si>
    <t>V010</t>
  </si>
  <si>
    <t>V283</t>
  </si>
  <si>
    <t>V399</t>
  </si>
  <si>
    <t>V500</t>
  </si>
  <si>
    <t>V157</t>
  </si>
  <si>
    <t>V414</t>
  </si>
  <si>
    <t>V380</t>
  </si>
  <si>
    <t>V346</t>
  </si>
  <si>
    <t>V290</t>
  </si>
  <si>
    <t>V045</t>
  </si>
  <si>
    <t>V136</t>
  </si>
  <si>
    <t>V317</t>
  </si>
  <si>
    <t>V308</t>
  </si>
  <si>
    <t>V007</t>
  </si>
  <si>
    <t>V190</t>
  </si>
  <si>
    <t>V156</t>
  </si>
  <si>
    <t>V135</t>
  </si>
  <si>
    <t>V450</t>
  </si>
  <si>
    <t>V262</t>
  </si>
  <si>
    <t>V374</t>
  </si>
  <si>
    <t>V286</t>
  </si>
  <si>
    <t>V303</t>
  </si>
  <si>
    <t>V204</t>
  </si>
  <si>
    <t>V144</t>
  </si>
  <si>
    <t>V114</t>
  </si>
  <si>
    <t>V181</t>
  </si>
  <si>
    <t>V465</t>
  </si>
  <si>
    <t>V131</t>
  </si>
  <si>
    <t>V208</t>
  </si>
  <si>
    <t>V325</t>
  </si>
  <si>
    <t>V261</t>
  </si>
  <si>
    <t>V299</t>
  </si>
  <si>
    <t>V404</t>
  </si>
  <si>
    <t>V148</t>
  </si>
  <si>
    <t>V429</t>
  </si>
  <si>
    <t>V202</t>
  </si>
  <si>
    <t>V447</t>
  </si>
  <si>
    <t>V285</t>
  </si>
  <si>
    <t>V044</t>
  </si>
  <si>
    <t>V340</t>
  </si>
  <si>
    <t>V067</t>
  </si>
  <si>
    <t>V213</t>
  </si>
  <si>
    <t>V273</t>
  </si>
  <si>
    <t>V020</t>
  </si>
  <si>
    <t>V466</t>
  </si>
  <si>
    <t>V014</t>
  </si>
  <si>
    <t>V277</t>
  </si>
  <si>
    <t>V108</t>
  </si>
  <si>
    <t>V263</t>
  </si>
  <si>
    <t>V019</t>
  </si>
  <si>
    <t>V175</t>
  </si>
  <si>
    <t>V032</t>
  </si>
  <si>
    <t>V038</t>
  </si>
  <si>
    <t>V057</t>
  </si>
  <si>
    <t>V313</t>
  </si>
  <si>
    <t>V296</t>
  </si>
  <si>
    <t>V347</t>
  </si>
  <si>
    <t>V191</t>
  </si>
  <si>
    <t>V005</t>
  </si>
  <si>
    <t>V233</t>
  </si>
  <si>
    <t>V422</t>
  </si>
  <si>
    <t>V268</t>
  </si>
  <si>
    <t>V236</t>
  </si>
  <si>
    <t>V424</t>
  </si>
  <si>
    <t>V454</t>
  </si>
  <si>
    <t>V426</t>
  </si>
  <si>
    <t>V373</t>
  </si>
  <si>
    <t>V185</t>
  </si>
  <si>
    <t>V222</t>
  </si>
  <si>
    <t>V027</t>
  </si>
  <si>
    <t>V453</t>
  </si>
  <si>
    <t>V483</t>
  </si>
  <si>
    <t>V050</t>
  </si>
  <si>
    <t>V122</t>
  </si>
  <si>
    <t>V172</t>
  </si>
  <si>
    <t>V113</t>
  </si>
  <si>
    <t>V029</t>
  </si>
  <si>
    <t>V214</t>
  </si>
  <si>
    <t>V193</t>
  </si>
  <si>
    <t>ID_cliente,ID_venta,Fecha_venta,Producto,Categoría,Precio_unitario,Cantidad_vendida,Total_venta,Nombre_cliente,Método_pago,Ubicación</t>
  </si>
  <si>
    <t>Coloque validación formato fecha válidas desde el 01/01/2024 hasta el 31/12/2024</t>
  </si>
  <si>
    <t>V001</t>
  </si>
  <si>
    <t>V003</t>
  </si>
  <si>
    <t>V004</t>
  </si>
  <si>
    <t>V008</t>
  </si>
  <si>
    <t>V009</t>
  </si>
  <si>
    <t>V011</t>
  </si>
  <si>
    <t>V017</t>
  </si>
  <si>
    <t>V018</t>
  </si>
  <si>
    <t>V021</t>
  </si>
  <si>
    <t>V024</t>
  </si>
  <si>
    <t>V025</t>
  </si>
  <si>
    <t>V026</t>
  </si>
  <si>
    <t>V028</t>
  </si>
  <si>
    <t>V030</t>
  </si>
  <si>
    <t>V033</t>
  </si>
  <si>
    <t>V037</t>
  </si>
  <si>
    <t>V039</t>
  </si>
  <si>
    <t>V040</t>
  </si>
  <si>
    <t>V041</t>
  </si>
  <si>
    <t>V042</t>
  </si>
  <si>
    <t>V043</t>
  </si>
  <si>
    <t>V047</t>
  </si>
  <si>
    <t>V049</t>
  </si>
  <si>
    <t>V051</t>
  </si>
  <si>
    <t>V052</t>
  </si>
  <si>
    <t>V053</t>
  </si>
  <si>
    <t>V054</t>
  </si>
  <si>
    <t>V058</t>
  </si>
  <si>
    <t>V059</t>
  </si>
  <si>
    <t>V063</t>
  </si>
  <si>
    <t>V064</t>
  </si>
  <si>
    <t>V066</t>
  </si>
  <si>
    <t>V068</t>
  </si>
  <si>
    <t>V069</t>
  </si>
  <si>
    <t>V070</t>
  </si>
  <si>
    <t>V071</t>
  </si>
  <si>
    <t>V072</t>
  </si>
  <si>
    <t>V076</t>
  </si>
  <si>
    <t>V077</t>
  </si>
  <si>
    <t>V078</t>
  </si>
  <si>
    <t>V079</t>
  </si>
  <si>
    <t>V080</t>
  </si>
  <si>
    <t>V083</t>
  </si>
  <si>
    <t>V085</t>
  </si>
  <si>
    <t>V086</t>
  </si>
  <si>
    <t>V087</t>
  </si>
  <si>
    <t>V088</t>
  </si>
  <si>
    <t>V090</t>
  </si>
  <si>
    <t>V091</t>
  </si>
  <si>
    <t>V093</t>
  </si>
  <si>
    <t>V098</t>
  </si>
  <si>
    <t>V099</t>
  </si>
  <si>
    <t>V100</t>
  </si>
  <si>
    <t>V101</t>
  </si>
  <si>
    <t>V102</t>
  </si>
  <si>
    <t>V106</t>
  </si>
  <si>
    <t>V110</t>
  </si>
  <si>
    <t>V111</t>
  </si>
  <si>
    <t>V115</t>
  </si>
  <si>
    <t>V116</t>
  </si>
  <si>
    <t>V117</t>
  </si>
  <si>
    <t>V119</t>
  </si>
  <si>
    <t>V123</t>
  </si>
  <si>
    <t>V124</t>
  </si>
  <si>
    <t>V125</t>
  </si>
  <si>
    <t>V126</t>
  </si>
  <si>
    <t>V128</t>
  </si>
  <si>
    <t>V130</t>
  </si>
  <si>
    <t>V134</t>
  </si>
  <si>
    <t>V138</t>
  </si>
  <si>
    <t>V140</t>
  </si>
  <si>
    <t>V141</t>
  </si>
  <si>
    <t>V143</t>
  </si>
  <si>
    <t>V145</t>
  </si>
  <si>
    <t>V147</t>
  </si>
  <si>
    <t>V149</t>
  </si>
  <si>
    <t>V150</t>
  </si>
  <si>
    <t>V151</t>
  </si>
  <si>
    <t>V152</t>
  </si>
  <si>
    <t>V153</t>
  </si>
  <si>
    <t>V154</t>
  </si>
  <si>
    <t>V155</t>
  </si>
  <si>
    <t>V159</t>
  </si>
  <si>
    <t>V160</t>
  </si>
  <si>
    <t>V163</t>
  </si>
  <si>
    <t>V164</t>
  </si>
  <si>
    <t>V165</t>
  </si>
  <si>
    <t>V167</t>
  </si>
  <si>
    <t>V169</t>
  </si>
  <si>
    <t>V173</t>
  </si>
  <si>
    <t>V178</t>
  </si>
  <si>
    <t>V182</t>
  </si>
  <si>
    <t>V186</t>
  </si>
  <si>
    <t>V187</t>
  </si>
  <si>
    <t>V195</t>
  </si>
  <si>
    <t>V196</t>
  </si>
  <si>
    <t>V197</t>
  </si>
  <si>
    <t>V198</t>
  </si>
  <si>
    <t>V200</t>
  </si>
  <si>
    <t>V201</t>
  </si>
  <si>
    <t>V205</t>
  </si>
  <si>
    <t>V206</t>
  </si>
  <si>
    <t>V209</t>
  </si>
  <si>
    <t>V210</t>
  </si>
  <si>
    <t>V211</t>
  </si>
  <si>
    <t>V212</t>
  </si>
  <si>
    <t>V217</t>
  </si>
  <si>
    <t>V218</t>
  </si>
  <si>
    <t>V219</t>
  </si>
  <si>
    <t>V225</t>
  </si>
  <si>
    <t>V226</t>
  </si>
  <si>
    <t>V227</t>
  </si>
  <si>
    <t>V228</t>
  </si>
  <si>
    <t>V229</t>
  </si>
  <si>
    <t>V230</t>
  </si>
  <si>
    <t>V235</t>
  </si>
  <si>
    <t>V237</t>
  </si>
  <si>
    <t>V241</t>
  </si>
  <si>
    <t>V243</t>
  </si>
  <si>
    <t>V244</t>
  </si>
  <si>
    <t>V245</t>
  </si>
  <si>
    <t>V246</t>
  </si>
  <si>
    <t>V251</t>
  </si>
  <si>
    <t>V254</t>
  </si>
  <si>
    <t>V255</t>
  </si>
  <si>
    <t>V258</t>
  </si>
  <si>
    <t>V259</t>
  </si>
  <si>
    <t>V264</t>
  </si>
  <si>
    <t>V267</t>
  </si>
  <si>
    <t>V270</t>
  </si>
  <si>
    <t>V272</t>
  </si>
  <si>
    <t>V274</t>
  </si>
  <si>
    <t>V275</t>
  </si>
  <si>
    <t>V278</t>
  </si>
  <si>
    <t>V279</t>
  </si>
  <si>
    <t>V280</t>
  </si>
  <si>
    <t>V281</t>
  </si>
  <si>
    <t>V282</t>
  </si>
  <si>
    <t>V284</t>
  </si>
  <si>
    <t>V287</t>
  </si>
  <si>
    <t>V288</t>
  </si>
  <si>
    <t>V289</t>
  </si>
  <si>
    <t>V292</t>
  </si>
  <si>
    <t>V293</t>
  </si>
  <si>
    <t>V294</t>
  </si>
  <si>
    <t>V295</t>
  </si>
  <si>
    <t>V302</t>
  </si>
  <si>
    <t>V304</t>
  </si>
  <si>
    <t>V305</t>
  </si>
  <si>
    <t>V306</t>
  </si>
  <si>
    <t>V309</t>
  </si>
  <si>
    <t>V312</t>
  </si>
  <si>
    <t>V316</t>
  </si>
  <si>
    <t>V320</t>
  </si>
  <si>
    <t>V322</t>
  </si>
  <si>
    <t>V324</t>
  </si>
  <si>
    <t>V328</t>
  </si>
  <si>
    <t>V331</t>
  </si>
  <si>
    <t>V332</t>
  </si>
  <si>
    <t>V333</t>
  </si>
  <si>
    <t>V334</t>
  </si>
  <si>
    <t>V335</t>
  </si>
  <si>
    <t>V337</t>
  </si>
  <si>
    <t>V338</t>
  </si>
  <si>
    <t>V339</t>
  </si>
  <si>
    <t>V343</t>
  </si>
  <si>
    <t>V344</t>
  </si>
  <si>
    <t>V345</t>
  </si>
  <si>
    <t>V348</t>
  </si>
  <si>
    <t>V350</t>
  </si>
  <si>
    <t>V351</t>
  </si>
  <si>
    <t>V352</t>
  </si>
  <si>
    <t>V354</t>
  </si>
  <si>
    <t>V355</t>
  </si>
  <si>
    <t>V356</t>
  </si>
  <si>
    <t>V358</t>
  </si>
  <si>
    <t>V359</t>
  </si>
  <si>
    <t>V360</t>
  </si>
  <si>
    <t>V363</t>
  </si>
  <si>
    <t>V368</t>
  </si>
  <si>
    <t>V371</t>
  </si>
  <si>
    <t>V375</t>
  </si>
  <si>
    <t>V377</t>
  </si>
  <si>
    <t>V378</t>
  </si>
  <si>
    <t>V379</t>
  </si>
  <si>
    <t>V381</t>
  </si>
  <si>
    <t>V383</t>
  </si>
  <si>
    <t>V384</t>
  </si>
  <si>
    <t>V385</t>
  </si>
  <si>
    <t>V386</t>
  </si>
  <si>
    <t>V388</t>
  </si>
  <si>
    <t>V389</t>
  </si>
  <si>
    <t>V391</t>
  </si>
  <si>
    <t>V392</t>
  </si>
  <si>
    <t>V393</t>
  </si>
  <si>
    <t>V394</t>
  </si>
  <si>
    <t>V397</t>
  </si>
  <si>
    <t>V398</t>
  </si>
  <si>
    <t>V401</t>
  </si>
  <si>
    <t>V403</t>
  </si>
  <si>
    <t>V405</t>
  </si>
  <si>
    <t>V406</t>
  </si>
  <si>
    <t>V407</t>
  </si>
  <si>
    <t>V408</t>
  </si>
  <si>
    <t>V410</t>
  </si>
  <si>
    <t>V411</t>
  </si>
  <si>
    <t>V415</t>
  </si>
  <si>
    <t>V416</t>
  </si>
  <si>
    <t>V417</t>
  </si>
  <si>
    <t>V418</t>
  </si>
  <si>
    <t>V419</t>
  </si>
  <si>
    <t>V420</t>
  </si>
  <si>
    <t>V421</t>
  </si>
  <si>
    <t>V427</t>
  </si>
  <si>
    <t>V430</t>
  </si>
  <si>
    <t>V433</t>
  </si>
  <si>
    <t>V434</t>
  </si>
  <si>
    <t>V436</t>
  </si>
  <si>
    <t>V437</t>
  </si>
  <si>
    <t>V438</t>
  </si>
  <si>
    <t>V439</t>
  </si>
  <si>
    <t>V440</t>
  </si>
  <si>
    <t>V441</t>
  </si>
  <si>
    <t>V446</t>
  </si>
  <si>
    <t>V456</t>
  </si>
  <si>
    <t>V457</t>
  </si>
  <si>
    <t>V458</t>
  </si>
  <si>
    <t>V459</t>
  </si>
  <si>
    <t>V467</t>
  </si>
  <si>
    <t>V468</t>
  </si>
  <si>
    <t>V469</t>
  </si>
  <si>
    <t>V470</t>
  </si>
  <si>
    <t>V471</t>
  </si>
  <si>
    <t>V472</t>
  </si>
  <si>
    <t>V476</t>
  </si>
  <si>
    <t>V482</t>
  </si>
  <si>
    <t>V484</t>
  </si>
  <si>
    <t>V486</t>
  </si>
  <si>
    <t>V488</t>
  </si>
  <si>
    <t>V489</t>
  </si>
  <si>
    <t>V490</t>
  </si>
  <si>
    <t>V494</t>
  </si>
  <si>
    <t>V495</t>
  </si>
  <si>
    <t>V497</t>
  </si>
  <si>
    <t>V499</t>
  </si>
  <si>
    <t>Coloqué validación numérica entera para la columna ID_clientes</t>
  </si>
  <si>
    <t>Coloqué lo mismo para la columna Total_venta</t>
  </si>
  <si>
    <t>Validaciones</t>
  </si>
  <si>
    <t>Buenos Aires</t>
  </si>
  <si>
    <t>Kike Martinez Gallo</t>
  </si>
  <si>
    <t>Salta</t>
  </si>
  <si>
    <t>Esteban Goñi</t>
  </si>
  <si>
    <t>Tucumán</t>
  </si>
  <si>
    <t>Esperanza Gallart Benito</t>
  </si>
  <si>
    <t>Entre Ríos</t>
  </si>
  <si>
    <t>Federico Antón Enríquez</t>
  </si>
  <si>
    <t>Misiones</t>
  </si>
  <si>
    <t>Vanesa Peralta Ballesteros</t>
  </si>
  <si>
    <t>Chubut</t>
  </si>
  <si>
    <t>Malena de Tejero</t>
  </si>
  <si>
    <t>San Juan</t>
  </si>
  <si>
    <t>María Dolores Salinas Juárez</t>
  </si>
  <si>
    <t>Mendoza</t>
  </si>
  <si>
    <t>Jose Carlos Diego Rosell</t>
  </si>
  <si>
    <t>Matilde Carla Ponce Rius</t>
  </si>
  <si>
    <t>Elías Roman Sandoval</t>
  </si>
  <si>
    <t>Samuel Real-Aranda</t>
  </si>
  <si>
    <t>Felicia Miralles Fiol</t>
  </si>
  <si>
    <t>Ovidio Cano Linares</t>
  </si>
  <si>
    <t>Oriana Plaza Porta</t>
  </si>
  <si>
    <t>Primitiva Grau Pereira</t>
  </si>
  <si>
    <t>Sandalio Camps Zapata</t>
  </si>
  <si>
    <t>Obdulia Gargallo Rius</t>
  </si>
  <si>
    <t>Georgina Oliver Catalá</t>
  </si>
  <si>
    <t>Andrés Felipe Navarrete Torres</t>
  </si>
  <si>
    <t>Eutimio Fuentes Ferrer</t>
  </si>
  <si>
    <t>Corrientes</t>
  </si>
  <si>
    <t>Prudencia Agullo-Medina</t>
  </si>
  <si>
    <t>Heraclio Porta Uría</t>
  </si>
  <si>
    <t>Noemí Clemente Morcillo</t>
  </si>
  <si>
    <t>Candela Calvo Coronado</t>
  </si>
  <si>
    <t>Cayetana Márquez Gibert</t>
  </si>
  <si>
    <t>Jennifer Quevedo Tolosa</t>
  </si>
  <si>
    <t>Amador del Meléndez</t>
  </si>
  <si>
    <t>Jennifer Soriano-Fabra</t>
  </si>
  <si>
    <t>Gisela Fernandez Zaragoza</t>
  </si>
  <si>
    <t>Neuquén</t>
  </si>
  <si>
    <t>Ángeles Sanchez Ferrera</t>
  </si>
  <si>
    <t>Juan Pablo Bautista Espinosa Rodríguez</t>
  </si>
  <si>
    <t>Feliciana Rebollo Santamaría</t>
  </si>
  <si>
    <t>Lorenza Giralt Artigas</t>
  </si>
  <si>
    <t>Marisela Chacón</t>
  </si>
  <si>
    <t>San Luis</t>
  </si>
  <si>
    <t>Gonzalo Reyes-Carbonell</t>
  </si>
  <si>
    <t>Río Negro</t>
  </si>
  <si>
    <t>Adelia Antúnez Boada</t>
  </si>
  <si>
    <t>Santa Fe</t>
  </si>
  <si>
    <t>Buenaventura Doménech Sanz</t>
  </si>
  <si>
    <t>Encarna del Atienza</t>
  </si>
  <si>
    <t>Bernardita Barrera-Simó</t>
  </si>
  <si>
    <t>Estela Armengol-Costa</t>
  </si>
  <si>
    <t>Duilio Losada Egea</t>
  </si>
  <si>
    <t>Tomasa Esteve Expósito</t>
  </si>
  <si>
    <t>Amancio Pereira Abad</t>
  </si>
  <si>
    <t>Berto Gelabert Boix</t>
  </si>
  <si>
    <t>Sosimo Calderón Arteaga</t>
  </si>
  <si>
    <t>Candelaria del Escalona</t>
  </si>
  <si>
    <t>Victoriano Carbonell Rozas</t>
  </si>
  <si>
    <t>Bruno Robledo Navas</t>
  </si>
  <si>
    <t>Demetrio de Iriarte</t>
  </si>
  <si>
    <t>Dionisia Jurado-Ramírez</t>
  </si>
  <si>
    <t>Gema Heredia-Sala</t>
  </si>
  <si>
    <t>Estefanía Tovar Cal</t>
  </si>
  <si>
    <t>Rocío Quintero-Diéguez</t>
  </si>
  <si>
    <t>Juan Villanueva</t>
  </si>
  <si>
    <t>Cleto Carrión</t>
  </si>
  <si>
    <t>Emma Palma Juan</t>
  </si>
  <si>
    <t>CABA</t>
  </si>
  <si>
    <t>Claudio Chema Baena Rivero</t>
  </si>
  <si>
    <t>Camilo Montaña Mendoza</t>
  </si>
  <si>
    <t>Violeta Artigas Pinedo</t>
  </si>
  <si>
    <t>Concepción Serra Ordóñez</t>
  </si>
  <si>
    <t>Eladio Baró Sevilla</t>
  </si>
  <si>
    <t>Guillermo Gabaldón Perez</t>
  </si>
  <si>
    <t>Cesar Ros</t>
  </si>
  <si>
    <t>Demetrio Carro-Roselló</t>
  </si>
  <si>
    <t>Alejo Sebastián Bayona</t>
  </si>
  <si>
    <t>Yaiza Portillo Parejo</t>
  </si>
  <si>
    <t>Tristán Alemán Rueda</t>
  </si>
  <si>
    <t>Sandalio Grande Perera</t>
  </si>
  <si>
    <t>Ignacio Cid Carmona</t>
  </si>
  <si>
    <t>Emma Manuel Velasco</t>
  </si>
  <si>
    <t>Isaac Toledo</t>
  </si>
  <si>
    <t>Américo Valenciano Bustos</t>
  </si>
  <si>
    <t>Daniel Ruano Galiano</t>
  </si>
  <si>
    <t>Elvira Cuadrado Galindo</t>
  </si>
  <si>
    <t>Josefina Fernández Bravo</t>
  </si>
  <si>
    <t>Córdoba</t>
  </si>
  <si>
    <t>Dolores Losada-Barrios</t>
  </si>
  <si>
    <t>Nélida Taboada Mercader</t>
  </si>
  <si>
    <t>Victor del Barros</t>
  </si>
  <si>
    <t>Máximo de Bonilla</t>
  </si>
  <si>
    <t>Ana Belén Ximena Exposito Juan</t>
  </si>
  <si>
    <t>Urbano Juan Martí Alarcón</t>
  </si>
  <si>
    <t>Daniela Pacheco Adadia</t>
  </si>
  <si>
    <t>Camila Montalbán-Vara</t>
  </si>
  <si>
    <t>Nazario Villar Casanova</t>
  </si>
  <si>
    <t>Eliseo Santana Castillo</t>
  </si>
  <si>
    <t>Delfina Emma Tomé Nogués</t>
  </si>
  <si>
    <t>Florina Aranda Pedrero</t>
  </si>
  <si>
    <t>Tomasa Gálvez Mercader</t>
  </si>
  <si>
    <t>Ainara Lozano Arenas</t>
  </si>
  <si>
    <t>Eugenio Bastida Gras</t>
  </si>
  <si>
    <t>Marta del Palomo</t>
  </si>
  <si>
    <t>Tania Santana-Luna</t>
  </si>
  <si>
    <t>Adoración Lluch Calderón</t>
  </si>
  <si>
    <t>Leocadia Salvà Moraleda</t>
  </si>
  <si>
    <t>Gaspar Villalobos Abril</t>
  </si>
  <si>
    <t>Anabel Cuesta Benítez</t>
  </si>
  <si>
    <t>Feliciano Córdoba Lamas</t>
  </si>
  <si>
    <t>Irma del Martinez</t>
  </si>
  <si>
    <t>Noelia Ribes Mora</t>
  </si>
  <si>
    <t>Carla del Garriga</t>
  </si>
  <si>
    <t>Maximiliano de Navarrete</t>
  </si>
  <si>
    <t>Godofredo Vazquez-Moraleda</t>
  </si>
  <si>
    <t>Azahara Marcos Nogueira</t>
  </si>
  <si>
    <t>Carlota Ruperta Canet Pinilla</t>
  </si>
  <si>
    <t>Berta Herranz</t>
  </si>
  <si>
    <t>Saturnino Esteban</t>
  </si>
  <si>
    <t>Rufino Puga Cuéllar</t>
  </si>
  <si>
    <t>Francisca Vélez</t>
  </si>
  <si>
    <t>Balduino del Santana</t>
  </si>
  <si>
    <t>Iván Mate Sosa</t>
  </si>
  <si>
    <t>Ignacio Salinas-Pont</t>
  </si>
  <si>
    <t>Casandra Evangelina Villaverde Torrents</t>
  </si>
  <si>
    <t>Fausto Somoza-Herrero</t>
  </si>
  <si>
    <t>Adela Lorena Acuña Gallo</t>
  </si>
  <si>
    <t>Joaquín Severiano Sandoval Pou</t>
  </si>
  <si>
    <t>Florentina Amalia Téllez Soto</t>
  </si>
  <si>
    <t>Silvio Miguel Chico</t>
  </si>
  <si>
    <t>Ani Díez Nieto</t>
  </si>
  <si>
    <t>Laura Valbuena Mur</t>
  </si>
  <si>
    <t>Toni Guijarro Pedraza</t>
  </si>
  <si>
    <t>Telmo Aurelio Vendrell Montes</t>
  </si>
  <si>
    <t>Jennifer Barón Oliva</t>
  </si>
  <si>
    <t>Ximena Ramirez Ferrándiz</t>
  </si>
  <si>
    <t>Clarisa Tormo Ruano</t>
  </si>
  <si>
    <t>Dolores Anglada Molina</t>
  </si>
  <si>
    <t>Flavia Alberto Fabregat</t>
  </si>
  <si>
    <t>Miriam Gonzalo Seguí</t>
  </si>
  <si>
    <t>Faustino Catalá Cano</t>
  </si>
  <si>
    <t>Cayetana Ágata Sales Prada</t>
  </si>
  <si>
    <t>Ovidio Reguera Arnau</t>
  </si>
  <si>
    <t>Wilfredo Ezequiel Segura Segovia</t>
  </si>
  <si>
    <t>Lope del Espada</t>
  </si>
  <si>
    <t>Leonardo Villena Jordán</t>
  </si>
  <si>
    <t>Elodia Casares Zapata</t>
  </si>
  <si>
    <t>Bernarda Benavides-Rosado</t>
  </si>
  <si>
    <t>Anunciación Tejera Alba</t>
  </si>
  <si>
    <t>Ruth Giménez Pol</t>
  </si>
  <si>
    <t>Luís Sevillano Comas</t>
  </si>
  <si>
    <t>Faustino Garrido Toro</t>
  </si>
  <si>
    <t>Salud Cánovas-Arias</t>
  </si>
  <si>
    <t>Lucio Pont-Díaz</t>
  </si>
  <si>
    <t>Griselda Ramírez Porcel</t>
  </si>
  <si>
    <t>Amaya Herranz Vila</t>
  </si>
  <si>
    <t>Azahara del Amor</t>
  </si>
  <si>
    <t>Florencia Ramis Ureña</t>
  </si>
  <si>
    <t>Ruy Bru Valenciano</t>
  </si>
  <si>
    <t>Arturo Custodio Real Grande</t>
  </si>
  <si>
    <t>Rosenda Verdú Aguilar</t>
  </si>
  <si>
    <t>Adelaida Infante</t>
  </si>
  <si>
    <t>Nico Calatayud Gomez</t>
  </si>
  <si>
    <t>Susana Castell Moraleda</t>
  </si>
  <si>
    <t>Alejandra Arranz-Olivé</t>
  </si>
  <si>
    <t>Quique Bayona Cerdá</t>
  </si>
  <si>
    <t>Santos Barranco Catalán</t>
  </si>
  <si>
    <t>Marcelino Báez Sastre</t>
  </si>
  <si>
    <t>Aitor del Román</t>
  </si>
  <si>
    <t>Virgilio de Mena</t>
  </si>
  <si>
    <t>Reyna Morera Galiano</t>
  </si>
  <si>
    <t>María Cristina Juan Pedro</t>
  </si>
  <si>
    <t>Vinicio Calderón Calleja</t>
  </si>
  <si>
    <t>Marisol del Baeza</t>
  </si>
  <si>
    <t>Merche Figuerola</t>
  </si>
  <si>
    <t>Hector Miguel Cid</t>
  </si>
  <si>
    <t>Calixto Real Tello</t>
  </si>
  <si>
    <t>Reinaldo de Villar</t>
  </si>
  <si>
    <t>Aureliano de Alfaro</t>
  </si>
  <si>
    <t>Vanesa Almagro Ugarte</t>
  </si>
  <si>
    <t>Primitivo Olivera Olmedo</t>
  </si>
  <si>
    <t>Ramona Riera Cabeza</t>
  </si>
  <si>
    <t>Ascensión de Ojeda</t>
  </si>
  <si>
    <t>Custodio Álvarez-Simó</t>
  </si>
  <si>
    <t>Julio César Iglesia Águila</t>
  </si>
  <si>
    <t>Ana Belén Ortuño Dueñas</t>
  </si>
  <si>
    <t>Carmina Caridad Julián Belmonte</t>
  </si>
  <si>
    <t>Gloria Bernarda Beltrán Nuñez</t>
  </si>
  <si>
    <t>Brunilda Castro</t>
  </si>
  <si>
    <t>Victor Jaén Folch</t>
  </si>
  <si>
    <t>Eliana Francisco Ramírez</t>
  </si>
  <si>
    <t>Pastora Pallarès Varela</t>
  </si>
  <si>
    <t>Arturo Rodrigo-Borrego</t>
  </si>
  <si>
    <t>Chelo Pablo-Rodriguez</t>
  </si>
  <si>
    <t>Angelina Cánovas Roura</t>
  </si>
  <si>
    <t>Lupe Pozuelo Barba</t>
  </si>
  <si>
    <t>Carlito Nieto Madrid</t>
  </si>
  <si>
    <t>Custodio Estévez Perea</t>
  </si>
  <si>
    <t>Jaime Berenguer</t>
  </si>
  <si>
    <t>Perla Verdejo Núñez</t>
  </si>
  <si>
    <t>Amarilis Pagès Calderón</t>
  </si>
  <si>
    <t>África María Ángeles Zabaleta Montesinos</t>
  </si>
  <si>
    <t>Jeremías Morillo Guerrero</t>
  </si>
  <si>
    <t>Isa Pastor Amat</t>
  </si>
  <si>
    <t>Inmaculada Agudo Cortina</t>
  </si>
  <si>
    <t>Moreno Giménez Castrillo</t>
  </si>
  <si>
    <t>Susanita Valenciano-Cabello</t>
  </si>
  <si>
    <t>Amílcar Florentino Crespo Múñiz</t>
  </si>
  <si>
    <t>Teodora Bolaños Tello</t>
  </si>
  <si>
    <t>Juan Cabello Velázquez</t>
  </si>
  <si>
    <t>Laura Miralles Ribera</t>
  </si>
  <si>
    <t>Amparo Gomila</t>
  </si>
  <si>
    <t>América Roca Calvo</t>
  </si>
  <si>
    <t>Clarisa Mur Porta</t>
  </si>
  <si>
    <t>Calista Ledesma Font</t>
  </si>
  <si>
    <t>Adelina Juliá Carretero</t>
  </si>
  <si>
    <t>Anselmo Gerónimo Castell Chacón</t>
  </si>
  <si>
    <t>Asdrubal Sierra-Valencia</t>
  </si>
  <si>
    <t>Ascensión Rincón Lerma</t>
  </si>
  <si>
    <t>Bernardo Pineda Falcó</t>
  </si>
  <si>
    <t>Atilio Benjamín Peñalver Hernando</t>
  </si>
  <si>
    <t>Clementina Almeida Bauzà</t>
  </si>
  <si>
    <t>Pepita Olivera Báez</t>
  </si>
  <si>
    <t>Anacleto Muro-Luís</t>
  </si>
  <si>
    <t>Manu Morán Toro</t>
  </si>
  <si>
    <t>Berta Heredia Caro</t>
  </si>
  <si>
    <t>Alfonso Neira Arenas</t>
  </si>
  <si>
    <t>Heriberto Egea Sáez</t>
  </si>
  <si>
    <t>Alcides Ricart Tejedor</t>
  </si>
  <si>
    <t>Teo Noriega Cabanillas</t>
  </si>
  <si>
    <t>Nazaret de Fábregas</t>
  </si>
  <si>
    <t>Leticia Conesa Lobo</t>
  </si>
  <si>
    <t>Óscar Esteban Oliver</t>
  </si>
  <si>
    <t>Marisol Villa Escudero</t>
  </si>
  <si>
    <t>Alicia Somoza-Nuñez</t>
  </si>
  <si>
    <t>Mamen Gonzalo Osorio</t>
  </si>
  <si>
    <t>Augusto Tamarit Benítez</t>
  </si>
  <si>
    <t>Ricarda Perea Ayllón</t>
  </si>
  <si>
    <t>Ricardo Anguita Reyes</t>
  </si>
  <si>
    <t>Trinidad Ayllón Vendrell</t>
  </si>
  <si>
    <t>Gil Salgado Ferrán</t>
  </si>
  <si>
    <t>Leire del Alvarez</t>
  </si>
  <si>
    <t>Ceferino Nieto Sanabria</t>
  </si>
  <si>
    <t>Mateo Llobet Blanco</t>
  </si>
  <si>
    <t>Apolonia Anita Torre Jover</t>
  </si>
  <si>
    <t>Bienvenida del Maza</t>
  </si>
  <si>
    <t>Cloe Simó Pedrosa</t>
  </si>
  <si>
    <t>Loreto Manso Pavón</t>
  </si>
  <si>
    <t>Evangelina Riquelme Sevillano</t>
  </si>
  <si>
    <t>Andrés Rebollo Amaya</t>
  </si>
  <si>
    <t>Atilio Jacobo Pera Miguel</t>
  </si>
  <si>
    <t>Susana Fortuny Pujol</t>
  </si>
  <si>
    <t>Jose Manuel Mata-Villalonga</t>
  </si>
  <si>
    <t>Bonifacio Bartolomé Fabra</t>
  </si>
  <si>
    <t>Américo Guijarro-Salcedo</t>
  </si>
  <si>
    <t>Javi Mancebo Isern</t>
  </si>
  <si>
    <t>Dionisio Peña Acosta</t>
  </si>
  <si>
    <t>Fabián Escudero Bernat</t>
  </si>
  <si>
    <t>Heliodoro Zurita Peralta</t>
  </si>
  <si>
    <t>Ascensión Caparrós</t>
  </si>
  <si>
    <t>Daniel Marin</t>
  </si>
  <si>
    <t>Lara Taboada Antón</t>
  </si>
  <si>
    <t>Rogelio Zamorano Rebollo</t>
  </si>
  <si>
    <t>Isabel Ripoll Pi</t>
  </si>
  <si>
    <t>Roberto Pino Cortes</t>
  </si>
  <si>
    <t>Delfina Carnero</t>
  </si>
  <si>
    <t>Baltasar Viña Ibañez</t>
  </si>
  <si>
    <t>Rolando Correa</t>
  </si>
  <si>
    <t>Marcos del Rivera</t>
  </si>
  <si>
    <t>Segismundo Zamorano Arellano</t>
  </si>
  <si>
    <t>Tadeo Alfaro Quintana</t>
  </si>
  <si>
    <t>Duilio Gámez Luque</t>
  </si>
  <si>
    <t>Cloe Alonso-Tolosa</t>
  </si>
  <si>
    <t>Gerónimo Prada Recio</t>
  </si>
  <si>
    <t>Aurelio Aguilar Casares</t>
  </si>
  <si>
    <t>Encarnita Figuerola Blanco</t>
  </si>
  <si>
    <t>Belén Ruano-Puga</t>
  </si>
  <si>
    <t>Sancho Tolosa Vilar</t>
  </si>
  <si>
    <t>Lucio Valderrama-Losada</t>
  </si>
  <si>
    <t>Rafaela del Gordillo</t>
  </si>
  <si>
    <t>Reyes Ureña Cuervo</t>
  </si>
  <si>
    <t>Beatriz Ródenas Castejón</t>
  </si>
  <si>
    <t>Débora Bárbara Bellido Duarte</t>
  </si>
  <si>
    <t>Mateo Quevedo</t>
  </si>
  <si>
    <t>Otilia Corral Landa</t>
  </si>
  <si>
    <t>Azucena Coronado</t>
  </si>
  <si>
    <t>Sigfrido Bello Velasco</t>
  </si>
  <si>
    <t>Fermín Zamora Arnaiz</t>
  </si>
  <si>
    <t>Gastón Tapia</t>
  </si>
  <si>
    <t>Regina Pozuelo Pino</t>
  </si>
  <si>
    <t>Saturnino Valenzuela Vall</t>
  </si>
  <si>
    <t>Calista del Naranjo</t>
  </si>
  <si>
    <t>Felicidad Morán</t>
  </si>
  <si>
    <t>Fabiana Lumbreras Alcázar</t>
  </si>
  <si>
    <t>Miguel Ángel Sanmiguel Carballo</t>
  </si>
  <si>
    <t>Inocencio Jove Roma</t>
  </si>
  <si>
    <t>Adalberto Agullo Gaya</t>
  </si>
  <si>
    <t>Rosaura Paredes Acevedo</t>
  </si>
  <si>
    <t>Eusebio Solera</t>
  </si>
  <si>
    <t>Bibiana Batlle Fernandez</t>
  </si>
  <si>
    <t>Roberto Gelabert Gras</t>
  </si>
  <si>
    <t>Severiano Julián Manrique</t>
  </si>
  <si>
    <t>Alexandra Pavón Avilés</t>
  </si>
  <si>
    <t>Gertrudis Santamaría Oller</t>
  </si>
  <si>
    <t>Carmen Peinado Cuesta</t>
  </si>
  <si>
    <t>Olalla Jiménez</t>
  </si>
  <si>
    <t>José Mancebo</t>
  </si>
  <si>
    <t>Adolfo Rozas Gálvez</t>
  </si>
  <si>
    <t>Manolo Abellán Ureña</t>
  </si>
  <si>
    <t>Poncio Eutimio Sosa Rocamora</t>
  </si>
  <si>
    <t>Benito Ferrándiz Salinas</t>
  </si>
  <si>
    <t>Gregorio Molins-Cánovas</t>
  </si>
  <si>
    <t>Etelvina Pinedo Moreno</t>
  </si>
  <si>
    <t>Enrique Gallardo</t>
  </si>
  <si>
    <t>Rosenda Alonso Salinas</t>
  </si>
  <si>
    <t>Emelina de Torrents</t>
  </si>
  <si>
    <t>Silvestre Barrios</t>
  </si>
  <si>
    <t>Miriam de Yáñez</t>
  </si>
  <si>
    <t>María Del Carmen Cadenas Aguado</t>
  </si>
  <si>
    <t>Yago Asensio-Rocamora</t>
  </si>
  <si>
    <t>Luisa Ferreras Llamas</t>
  </si>
  <si>
    <t>Nacho Vilaplana Reina</t>
  </si>
  <si>
    <t>Cleto Madrid-Mir</t>
  </si>
  <si>
    <t>Encarnacion de Blázquez</t>
  </si>
  <si>
    <t>Cristian Vara Montesinos</t>
  </si>
  <si>
    <t>Rosendo Reguera-Cabañas</t>
  </si>
  <si>
    <t>Pepita Ainara Ponce Quintana</t>
  </si>
  <si>
    <t>Enrique del Gárate</t>
  </si>
  <si>
    <t>Alba del Estévez</t>
  </si>
  <si>
    <t>Lara Cerro Prat</t>
  </si>
  <si>
    <t>Fernando Sacristán Espejo</t>
  </si>
  <si>
    <t>Aitor Girón Cases</t>
  </si>
  <si>
    <t>Jimena de Tejero</t>
  </si>
  <si>
    <t>Rolando Barranco-Mora</t>
  </si>
  <si>
    <t>Manolo del Coll</t>
  </si>
  <si>
    <t>Evita Sandra Caro Bonet</t>
  </si>
  <si>
    <t>Leocadio Robledo Bermúdez</t>
  </si>
  <si>
    <t>Anunciación Menéndez Gimeno</t>
  </si>
  <si>
    <t>Luisa Porras Torrecilla</t>
  </si>
  <si>
    <t>Carlito Mercader Olivera</t>
  </si>
  <si>
    <t>Araceli Grande León</t>
  </si>
  <si>
    <t>Nerea Moll Pellicer</t>
  </si>
  <si>
    <t>Hector Reina-Martí</t>
  </si>
  <si>
    <t>Delfina Cañas Sosa</t>
  </si>
  <si>
    <t>José María Montesinos-Samper</t>
  </si>
  <si>
    <t>Evita Rico Pelayo</t>
  </si>
  <si>
    <t>Tatiana Alvarez Quiroga</t>
  </si>
  <si>
    <t>Dalila Chamorro Hoz</t>
  </si>
  <si>
    <t>Lidia Tolosa Querol</t>
  </si>
  <si>
    <t>Gloria del Beltran</t>
  </si>
  <si>
    <t>Urbano de Barón</t>
  </si>
  <si>
    <t>Amor Calderón Gonzalez</t>
  </si>
  <si>
    <t>Crescencia Barba Lucena</t>
  </si>
  <si>
    <t>Adelina Ballesteros Lloret</t>
  </si>
  <si>
    <t>Jose Ignacio Jose Ramón Codina Carbó</t>
  </si>
  <si>
    <t>Tania Campillo-Pla</t>
  </si>
  <si>
    <t>Rita Navarrete Cifuentes</t>
  </si>
  <si>
    <t>Eliana Nicolau Posada</t>
  </si>
  <si>
    <t>Dimas Talavera-Arcos</t>
  </si>
  <si>
    <t>Poncio Arregui Andres</t>
  </si>
  <si>
    <t>Joan de Sarabia</t>
  </si>
  <si>
    <t>Tristán Cantero Alegre</t>
  </si>
  <si>
    <t>Lino Carmelo Pinilla Miró</t>
  </si>
  <si>
    <t>Prudencia Espejo Alberola</t>
  </si>
  <si>
    <t>Hilario Alcalá Barragán</t>
  </si>
  <si>
    <t>Jose Ramón del Olivé</t>
  </si>
  <si>
    <t>Morena Lamas Pacheco</t>
  </si>
  <si>
    <t>Camilo del Franch</t>
  </si>
  <si>
    <t>Merche Serra-Arregui</t>
  </si>
  <si>
    <t>África Jaume</t>
  </si>
  <si>
    <t>Edelmiro Armas Atienza</t>
  </si>
  <si>
    <t>Berta Cabezas-Zaragoza</t>
  </si>
  <si>
    <t>Clemente Lobo</t>
  </si>
  <si>
    <t>Bárbara Hernandez Noriega</t>
  </si>
  <si>
    <t>Felix Villar Puerta</t>
  </si>
  <si>
    <t>Pacífica Cabello Lumbreras</t>
  </si>
  <si>
    <t>Lucio Vito Dominguez Solís</t>
  </si>
  <si>
    <t>Dimas Expósito Checa</t>
  </si>
  <si>
    <t>Macaria Solano Manjón</t>
  </si>
  <si>
    <t>Guadalupe Mora Camacho</t>
  </si>
  <si>
    <t>Aurelio Valdés Becerra</t>
  </si>
  <si>
    <t>Flavia Santiago Moles</t>
  </si>
  <si>
    <t>Ricardo Piñol Contreras</t>
  </si>
  <si>
    <t>Amaya Blanco Cid</t>
  </si>
  <si>
    <t>Nadia Montes Abril</t>
  </si>
  <si>
    <t>Chema Garrido Gilabert</t>
  </si>
  <si>
    <t>Heriberto Gallardo</t>
  </si>
  <si>
    <t>Josefa Berenguer Márquez</t>
  </si>
  <si>
    <t>Olalla Fernández-Peral</t>
  </si>
  <si>
    <t>Sosimo Larrañaga Rios</t>
  </si>
  <si>
    <t>Dolores Bermudez Guillen</t>
  </si>
  <si>
    <t>Pacífica Pera</t>
  </si>
  <si>
    <t>Felipa Granados-Zorrilla</t>
  </si>
  <si>
    <t>Eutimio Villaverde-Iriarte</t>
  </si>
  <si>
    <t>Alicia Salmerón Mendez</t>
  </si>
  <si>
    <t>Emiliano de Amigó</t>
  </si>
  <si>
    <t>Maximino Sainz</t>
  </si>
  <si>
    <t>Patricia Pareja Benavente</t>
  </si>
  <si>
    <t>Balduino Mendez Bartolomé</t>
  </si>
  <si>
    <t>Rebeca López Quero</t>
  </si>
  <si>
    <t>Etelvina Palau Almansa</t>
  </si>
  <si>
    <t>Heliodoro Heliodoro Recio Sáenz</t>
  </si>
  <si>
    <t>Encarna Fuertes Roura</t>
  </si>
  <si>
    <t>Isaura Agustín Cortés</t>
  </si>
  <si>
    <t>Lope Plaza Arenas</t>
  </si>
  <si>
    <t>Adriana Carvajal</t>
  </si>
  <si>
    <t>Jenaro Cerdá</t>
  </si>
  <si>
    <t>Martin Borrell Reyes</t>
  </si>
  <si>
    <t>Viviana Blasco Zabala</t>
  </si>
  <si>
    <t>Albino Cerdán Hierro</t>
  </si>
  <si>
    <t>Manuelita Baena</t>
  </si>
  <si>
    <t>Joaquín Duran Salas</t>
  </si>
  <si>
    <t>Julie Marti Chamorro</t>
  </si>
  <si>
    <t>Maite de Recio</t>
  </si>
  <si>
    <t>Celia Cerdá Solsona</t>
  </si>
  <si>
    <t>Luna Felicia Casas Gálvez</t>
  </si>
  <si>
    <t>César del Alberto</t>
  </si>
  <si>
    <t>Ángela Cobo Gras</t>
  </si>
  <si>
    <t>Amada Rey Iborra</t>
  </si>
  <si>
    <t>Cruz Bárcena Escobar</t>
  </si>
  <si>
    <t>Ariel Cuervo Ibarra</t>
  </si>
  <si>
    <t>Nando Castelló Cal</t>
  </si>
  <si>
    <t>Manuel Narváez Valentín</t>
  </si>
  <si>
    <t>Joan José Antonio Isern Patiño</t>
  </si>
  <si>
    <t>Carmen Albero-Ortuño</t>
  </si>
  <si>
    <t>Jacobo Eric Redondo Cerdá</t>
  </si>
  <si>
    <t>Jose Carlos Portillo Diez</t>
  </si>
  <si>
    <t>Octavio Cabezas Coronado</t>
  </si>
  <si>
    <t>Zaida del Company</t>
  </si>
  <si>
    <t>Narciso Merino</t>
  </si>
  <si>
    <t>Jimena Quiroga</t>
  </si>
  <si>
    <t>Eva Pedrosa Andrade</t>
  </si>
  <si>
    <t>Anna de Villar</t>
  </si>
  <si>
    <t>Jose Antonio Mascaró Gallo</t>
  </si>
  <si>
    <t>Sara Ledesma Ríos</t>
  </si>
  <si>
    <t>Piedad Andrade Plaza</t>
  </si>
  <si>
    <t>Angelina Ballesteros Cases</t>
  </si>
  <si>
    <t>Emilio Reina Sarabia</t>
  </si>
  <si>
    <t>Amada Bernal Ávila</t>
  </si>
  <si>
    <t>Teófilo Vélez Otero</t>
  </si>
  <si>
    <t>Teresa Hervás Vilaplana</t>
  </si>
  <si>
    <t>Saturnino Jódar</t>
  </si>
  <si>
    <t>Valentina Armas Villalonga</t>
  </si>
  <si>
    <t>Pacífica Roselló-Gibert</t>
  </si>
  <si>
    <t>Calixta Caparrós Casares</t>
  </si>
  <si>
    <t>Matías Busquets Cabañas</t>
  </si>
  <si>
    <t>Mireia Pardo Carrión</t>
  </si>
  <si>
    <t>Susanita Rueda Cantero</t>
  </si>
  <si>
    <t>Plácido Milla Yuste</t>
  </si>
  <si>
    <t>Sebastian Osorio Pereira</t>
  </si>
  <si>
    <t>Ramiro Garcia Hurtado</t>
  </si>
  <si>
    <t>Juan José Salvador</t>
  </si>
  <si>
    <t>Florinda Ribes Saavedra</t>
  </si>
  <si>
    <t>Gerardo Palacio Cruz</t>
  </si>
  <si>
    <t>Julieta Rojas Garcia</t>
  </si>
  <si>
    <t>Paula Puga Maza</t>
  </si>
  <si>
    <t>Ximena Zabaleta Arellano</t>
  </si>
  <si>
    <t>Dionisio Luján Jove</t>
  </si>
  <si>
    <t>Alcides Gonzalo Marin</t>
  </si>
  <si>
    <t>Benigna Gárate Verdugo</t>
  </si>
  <si>
    <t>Fermín Barragán Romeu</t>
  </si>
  <si>
    <t>Corona Sanjuan Alfaro</t>
  </si>
  <si>
    <t>Julián Páez Peiró</t>
  </si>
  <si>
    <t>Sandalio Carro Bejarano</t>
  </si>
  <si>
    <t>Rafaela Díaz Arjona</t>
  </si>
  <si>
    <t>Rosenda Guillen-Pastor</t>
  </si>
  <si>
    <t>Porfirio Nicanor Enríquez Arnau</t>
  </si>
  <si>
    <t>Patricia Vega-Villaverde</t>
  </si>
  <si>
    <t>Anabel Valverde Tomé</t>
  </si>
  <si>
    <t>Ruy Cuenca Belda</t>
  </si>
  <si>
    <t>Leocadia Laura Manzano Naranjo</t>
  </si>
  <si>
    <t>Isabel Ordóñez</t>
  </si>
  <si>
    <t>Gustavo Rocha Sevillano</t>
  </si>
  <si>
    <t>Morena de Ledesma</t>
  </si>
  <si>
    <t>Aitana Tovar Prada</t>
  </si>
  <si>
    <t>Ismael Fernandez</t>
  </si>
  <si>
    <t>Mayte Tena</t>
  </si>
  <si>
    <t>Jordi Planas</t>
  </si>
  <si>
    <t>Vidal Ramiro Morera Ballester</t>
  </si>
  <si>
    <t>Yésica Ledesma Morera</t>
  </si>
  <si>
    <t>Nando del Fernandez</t>
  </si>
  <si>
    <t>Édgar Peláez Solana</t>
  </si>
  <si>
    <t>Angelita Viana Bolaños</t>
  </si>
  <si>
    <t>Adoración Cornejo</t>
  </si>
  <si>
    <t>Antonia Lobato</t>
  </si>
  <si>
    <t>Fabiola Nicolau Ángel</t>
  </si>
  <si>
    <t>Nacho Sarabia-Gomez</t>
  </si>
  <si>
    <t>Adelardo Martínez-Nieto</t>
  </si>
  <si>
    <t>Dafne Hervia Gilabert</t>
  </si>
  <si>
    <t>Serafina de Torrens</t>
  </si>
  <si>
    <t>Begoña Real Porta</t>
  </si>
  <si>
    <t>Lupe Canales Acero</t>
  </si>
  <si>
    <t>Octavia Romeu Báez</t>
  </si>
  <si>
    <t>Carlota Carro Riba</t>
  </si>
  <si>
    <t>Inmaculada Fabregat Boada</t>
  </si>
  <si>
    <t>María Dolores Requena Tomé</t>
  </si>
  <si>
    <t>Emelina Guardiola Serrano</t>
  </si>
  <si>
    <t>Isaura Gallardo Guerra</t>
  </si>
  <si>
    <t>Lupe Llamas-Hervia</t>
  </si>
  <si>
    <t>Carlito Aramburu Gómez</t>
  </si>
  <si>
    <t>Paloma Manjón Nogués</t>
  </si>
  <si>
    <t>Ofelia Revilla Armengol</t>
  </si>
  <si>
    <t>Fabiana Torrecilla Conesa</t>
  </si>
  <si>
    <t>Cosme Vergara</t>
  </si>
  <si>
    <t>Candelario Jimenez-Oliver</t>
  </si>
  <si>
    <t>Martín Puerta</t>
  </si>
  <si>
    <t>Carmelita Eligia Giralt Gordillo</t>
  </si>
  <si>
    <t>Marisol Garriga Cisneros</t>
  </si>
  <si>
    <t>Rufino Pagès</t>
  </si>
  <si>
    <t>Régulo Tolosa</t>
  </si>
  <si>
    <t>Felicia Zaida Matas Albero</t>
  </si>
  <si>
    <t>Angélica Mayte Jimenez Campos</t>
  </si>
  <si>
    <t>Mauricio Leandro Peláez Carballo</t>
  </si>
  <si>
    <t>4710,V001,2024-01-02,Smartphone X,Telefonía,741722,3,2225166,Kike Martinez Gallo,Efectivo,Salta</t>
  </si>
  <si>
    <t>3188,V002,2024-01-03,Tablet S,Computación,707995,2,1415990,Esteban Goñi,Efectivo,Tucumán</t>
  </si>
  <si>
    <t>7148,V003,2024-01-03,Smartphone X,Telefonía,741722,1,741722,Esperanza Gallart Benito,Tarjeta de crédito,Entre Ríos</t>
  </si>
  <si>
    <t>5096,V004,2024-01-03,Auriculares Z,Accesorios,114971,1,114971,Federico Antón Enríquez,MercadoPago,Misiones</t>
  </si>
  <si>
    <t>6289,V005,2024-01-03,Laptop Pro,Computación,1844533,1,1844533,Vanesa Peralta Ballesteros,Transferencia,Chubut</t>
  </si>
  <si>
    <t>6653,V006,2024-01-04,Tablet S,Computación,707995,1,707995,Malena de Tejero,Tarjeta de crédito,San Juan</t>
  </si>
  <si>
    <t>5587,V007,2024-01-07,Tablet S,Computación,707995,2,1415990,María Dolores Salinas Juárez,Transferencia,Mendoza</t>
  </si>
  <si>
    <t>6540,V008,2024-01-10,Smartphone X,Telefonía,741722,3,2225166,Jose Carlos Diego Rosell,Efectivo,Tucumán</t>
  </si>
  <si>
    <t>3683,V009,2024-01-12,Auriculares Z,Accesorios,114971,2,229942,Matilde Carla Ponce Rius,Efectivo,Misiones</t>
  </si>
  <si>
    <t>9486,V010,2024-01-13,Smartwatch Y,Accesorios,177881,2,355762,Elías Roman Sandoval,Efectivo,San Juan</t>
  </si>
  <si>
    <t>5593,V011,2024-01-15,Smartphone X,Telefonía,741722,1,741722,Samuel Real-Aranda,Efectivo,Chubut</t>
  </si>
  <si>
    <t>8961,V012,2024-01-16,Auriculares Z,Accesorios,114971,2,229942,Felicia Miralles Fiol,Tarjeta de crédito,Salta</t>
  </si>
  <si>
    <t>1356,V013,2024-01-17,Laptop Pro,Computación,1844533,3,5533599,Ovidio Cano Linares,Efectivo,Misiones</t>
  </si>
  <si>
    <t>4943,V014,2024-01-17,Tablet S,Computación,707995,3,2123985,Oriana Plaza Porta,Efectivo,Buenos Aires</t>
  </si>
  <si>
    <t>6793,V015,2024-01-18,Tablet S,Computación,707995,3,2123985,Primitiva Grau Pereira,Efectivo,Salta</t>
  </si>
  <si>
    <t>8483,V016,2024-01-18,Smartwatch Y,Accesorios,177881,3,533643,Sandalio Camps Zapata,Efectivo,Mendoza</t>
  </si>
  <si>
    <t>2979,V017,2024-01-19,Laptop Pro,Computación,1844533,2,3689066,Obdulia Gargallo Rius,Transferencia,Chubut</t>
  </si>
  <si>
    <t>7640,V018,2024-01-19,Laptop Pro,Computación,1844533,3,5533599,Georgina Oliver Catalá,Efectivo,Mendoza</t>
  </si>
  <si>
    <t>1335,V019,2024-01-22,Auriculares Z,Accesorios,114971,3,344913,Andrés Felipe Navarrete Torres,Efectivo,Buenos Aires</t>
  </si>
  <si>
    <t>6937,V020,2024-01-22,Laptop Pro,Computación,1844533,2,3689066,Eutimio Fuentes Ferrer,Transferencia,Corrientes</t>
  </si>
  <si>
    <t>9475,V021,2024-01-22,Tablet S,Computación,707995,1,707995,Prudencia Agullo-Medina,MercadoPago,San Juan</t>
  </si>
  <si>
    <t>6494,V022,2024-01-22,Laptop Pro,Computación,1844533,2,3689066,Heraclio Porta Uría,Transferencia,Corrientes</t>
  </si>
  <si>
    <t>4751,V023,2024-01-24,Smartwatch Y,Accesorios,177881,1,177881,Noemí Clemente Morcillo,Transferencia,Entre Ríos</t>
  </si>
  <si>
    <t>4484,V024,2024-01-25,Smartphone X,Telefonía,741722,3,2225166,Candela Calvo Coronado,MercadoPago,Chubut</t>
  </si>
  <si>
    <t>5938,V025,2024-01-27,Tablet S,Computación,707995,1,707995,Cayetana Márquez Gibert,MercadoPago,Corrientes</t>
  </si>
  <si>
    <t>9420,V026,2024-01-28,Laptop Pro,Computación,1844533,3,5533599,Jennifer Quevedo Tolosa,Transferencia,Tucumán</t>
  </si>
  <si>
    <t>7338,V027,2024-01-28,Smartwatch Y,Accesorios,177881,2,355762,Amador del Meléndez,MercadoPago,Entre Ríos</t>
  </si>
  <si>
    <t>8270,V028,2024-01-28,Laptop Pro,Computación,1844533,3,5533599,Jennifer Soriano-Fabra,MercadoPago,Misiones</t>
  </si>
  <si>
    <t>1066,V029,2024-01-29,Laptop Pro,Computación,1844533,2,3689066,Gisela Fernandez Zaragoza,Efectivo,Neuquén</t>
  </si>
  <si>
    <t>7881,V030,2024-01-29,Auriculares Z,Accesorios,114971,1,114971,Ángeles Sanchez Ferrera,Tarjeta de crédito,Misiones</t>
  </si>
  <si>
    <t>6118,V031,2024-01-29,Smartwatch Y,Accesorios,177881,3,533643,Juan Pablo Bautista Espinosa Rodríguez,Tarjeta de crédito,Neuquén</t>
  </si>
  <si>
    <t>4140,V032,2024-01-30,Tablet S,Computación,707995,3,2123985,Feliciana Rebollo Santamaría,MercadoPago,Salta</t>
  </si>
  <si>
    <t>4001,V033,2024-01-30,Smartwatch Y,Accesorios,177881,3,533643,Lorenza Giralt Artigas,Tarjeta de crédito,Buenos Aires</t>
  </si>
  <si>
    <t>8610,V034,2024-01-31,Tablet S,Computación,707995,3,2123985,Marisela Chacón,Transferencia,San Luis</t>
  </si>
  <si>
    <t>2955,V035,2024-01-31,Smartwatch Y,Accesorios,177881,3,533643,Gonzalo Reyes-Carbonell,Transferencia,Río Negro</t>
  </si>
  <si>
    <t>5491,V036,2024-02-01,Smartphone X,Telefonía,741722,1,741722,Adelia Antúnez Boada,MercadoPago,Santa Fe</t>
  </si>
  <si>
    <t>8752,V037,2024-02-01,Laptop Pro,Computación,1844533,1,1844533,Buenaventura Doménech Sanz,Efectivo,Tucumán</t>
  </si>
  <si>
    <t>9939,V038,2024-02-01,Tablet S,Computación,707995,1,707995,Encarna del Atienza,Efectivo,Río Negro</t>
  </si>
  <si>
    <t>8598,V039,2024-02-01,Smartwatch Y,Accesorios,177881,2,355762,Bernardita Barrera-Simó,Tarjeta de crédito,Santa Fe</t>
  </si>
  <si>
    <t>7365,V040,2024-02-01,Tablet S,Computación,707995,1,707995,Estela Armengol-Costa,Tarjeta de crédito,Misiones</t>
  </si>
  <si>
    <t>4111,V041,2024-02-02,Tablet S,Computación,707995,1,707995,Duilio Losada Egea,MercadoPago,Tucumán</t>
  </si>
  <si>
    <t>9352,V042,2024-02-02,Auriculares Z,Accesorios,114971,3,344913,Tomasa Esteve Expósito,Transferencia,Mendoza</t>
  </si>
  <si>
    <t>3351,V043,2024-02-04,Auriculares Z,Accesorios,114971,2,229942,Amancio Pereira Abad,Transferencia,Misiones</t>
  </si>
  <si>
    <t>6844,V044,2024-02-04,Laptop Pro,Computación,1844533,3,5533599,Berto Gelabert Boix,MercadoPago,Salta</t>
  </si>
  <si>
    <t>2108,V045,2024-02-05,Tablet S,Computación,707995,1,707995,Sosimo Calderón Arteaga,Tarjeta de crédito,Neuquén</t>
  </si>
  <si>
    <t>5735,V046,2024-02-06,Tablet S,Computación,707995,2,1415990,Candelaria del Escalona,MercadoPago,Tucumán</t>
  </si>
  <si>
    <t>2116,V047,2024-02-09,Laptop Pro,Computación,1844533,1,1844533,Victoriano Carbonell Rozas,Transferencia,Río Negro</t>
  </si>
  <si>
    <t>1614,V048,2024-02-09,Smartwatch Y,Accesorios,177881,1,177881,Bruno Robledo Navas,Transferencia,Corrientes</t>
  </si>
  <si>
    <t>7957,V049,2024-02-10,Auriculares Z,Accesorios,114971,2,229942,Demetrio de Iriarte,MercadoPago,Mendoza</t>
  </si>
  <si>
    <t>1445,V050,2024-02-11,Laptop Pro,Computación,1844533,3,5533599,Dionisia Jurado-Ramírez,Efectivo,Salta</t>
  </si>
  <si>
    <t>3328,V051,2024-02-12,Smartphone X,Telefonía,741722,1,741722,Gema Heredia-Sala,Transferencia,Santa Fe</t>
  </si>
  <si>
    <t>3414,V052,2024-02-13,Auriculares Z,Accesorios,114971,1,114971,Estefanía Tovar Cal,Tarjeta de crédito,San Luis</t>
  </si>
  <si>
    <t>2058,V053,2024-02-13,Tablet S,Computación,707995,1,707995,Rocío Quintero-Diéguez,Efectivo,Buenos Aires</t>
  </si>
  <si>
    <t>5470,V054,2024-02-14,Auriculares Z,Accesorios,114971,2,229942,Juan Villanueva,Efectivo,Entre Ríos</t>
  </si>
  <si>
    <t>3845,V055,2024-02-16,Smartphone X,Telefonía,741722,1,741722,Cleto Carrión,MercadoPago,San Luis</t>
  </si>
  <si>
    <t>8008,V056,2024-02-16,Auriculares Z,Accesorios,114971,3,344913,Emma Palma Juan,MercadoPago,CABA</t>
  </si>
  <si>
    <t>5545,V057,2024-02-16,Smartwatch Y,Accesorios,177881,2,355762,Claudio Chema Baena Rivero,Tarjeta de crédito,Tucumán</t>
  </si>
  <si>
    <t>2352,V058,2024-02-18,Laptop Pro,Computación,1844533,2,3689066,Camilo Montaña Mendoza,Efectivo,Chubut</t>
  </si>
  <si>
    <t>8090,V059,2024-02-18,Laptop Pro,Computación,1844533,2,3689066,Violeta Artigas Pinedo,Transferencia,CABA</t>
  </si>
  <si>
    <t>9273,V060,2024-02-18,Smartwatch Y,Accesorios,177881,3,533643,Concepción Serra Ordóñez,Tarjeta de crédito,Corrientes</t>
  </si>
  <si>
    <t>4996,V061,2024-02-18,Tablet S,Computación,707995,1,707995,Eladio Baró Sevilla,Efectivo,San Luis</t>
  </si>
  <si>
    <t>4795,V062,2024-02-20,Smartwatch Y,Accesorios,177881,3,533643,Guillermo Gabaldón Perez,MercadoPago,Mendoza</t>
  </si>
  <si>
    <t>1966,V063,2024-02-21,Auriculares Z,Accesorios,114971,2,229942,Cesar Ros,Efectivo,Corrientes</t>
  </si>
  <si>
    <t>5122,V064,2024-02-21,Smartwatch Y,Accesorios,177881,3,533643,Demetrio Carro-Roselló,MercadoPago,Tucumán</t>
  </si>
  <si>
    <t>8522,V065,2024-02-21,Smartphone X,Telefonía,741722,1,741722,Alejo Sebastián Bayona,Efectivo,Neuquén</t>
  </si>
  <si>
    <t>4500,V066,2024-02-21,Laptop Pro,Computación,1844533,3,5533599,Yaiza Portillo Parejo,Efectivo,Río Negro</t>
  </si>
  <si>
    <t>3993,V067,2024-02-22,Tablet S,Computación,707995,1,707995,Tristán Alemán Rueda,MercadoPago,Santa Fe</t>
  </si>
  <si>
    <t>2517,V068,2024-02-23,Laptop Pro,Computación,1844533,2,3689066,Sandalio Grande Perera,Efectivo,San Luis</t>
  </si>
  <si>
    <t>8019,V069,2024-02-23,Smartwatch Y,Accesorios,177881,3,533643,Ignacio Cid Carmona,Tarjeta de crédito,San Luis</t>
  </si>
  <si>
    <t>5579,V070,2024-02-24,Laptop Pro,Computación,1844533,3,5533599,Emma Manuel Velasco,Efectivo,Chubut</t>
  </si>
  <si>
    <t>5811,V071,2024-02-25,Auriculares Z,Accesorios,114971,1,114971,Isaac Toledo,Tarjeta de crédito,San Luis</t>
  </si>
  <si>
    <t>2934,V072,2024-02-25,Smartwatch Y,Accesorios,177881,3,533643,Américo Valenciano Bustos,Efectivo,Río Negro</t>
  </si>
  <si>
    <t>5311,V073,2024-02-25,Smartphone X,Telefonía,741722,2,1483444,Daniel Ruano Galiano,Efectivo,Chubut</t>
  </si>
  <si>
    <t>9903,V074,2024-02-27,Auriculares Z,Accesorios,114971,1,114971,Elvira Cuadrado Galindo,MercadoPago,Entre Ríos</t>
  </si>
  <si>
    <t>3449,V075,2024-02-27,Smartphone X,Telefonía,741722,2,1483444,Josefina Fernández Bravo,MercadoPago,Córdoba</t>
  </si>
  <si>
    <t>7182,V076,2024-02-27,Tablet S,Computación,707995,1,707995,Dolores Losada-Barrios,Efectivo,Corrientes</t>
  </si>
  <si>
    <t>9345,V077,2024-02-27,Auriculares Z,Accesorios,114971,3,344913,Nélida Taboada Mercader,Transferencia,Río Negro</t>
  </si>
  <si>
    <t>3205,V078,2024-02-28,Laptop Pro,Computación,1844533,3,5533599,Victor del Barros,Efectivo,Río Negro</t>
  </si>
  <si>
    <t>9248,V079,2024-03-01,Laptop Pro,Computación,1844533,3,5533599,Máximo de Bonilla,Transferencia,Córdoba</t>
  </si>
  <si>
    <t>6797,V080,2024-03-02,Tablet S,Computación,707995,1,707995,Ana Belén Ximena Exposito Juan,MercadoPago,CABA</t>
  </si>
  <si>
    <t>7069,V081,2024-03-02,Smartwatch Y,Accesorios,177881,3,533643,Urbano Juan Martí Alarcón,MercadoPago,Salta</t>
  </si>
  <si>
    <t>8884,V082,2024-03-04,Auriculares Z,Accesorios,114971,1,114971,Daniela Pacheco Adadia,Tarjeta de crédito,Tucumán</t>
  </si>
  <si>
    <t>3867,V083,2024-03-04,Smartwatch Y,Accesorios,177881,2,355762,Camila Montalbán-Vara,Tarjeta de crédito,Salta</t>
  </si>
  <si>
    <t>9935,V084,2024-03-05,Smartwatch Y,Accesorios,177881,2,355762,Nazario Villar Casanova,Transferencia,Santa Fe</t>
  </si>
  <si>
    <t>3462,V085,2024-03-06,Smartwatch Y,Accesorios,177881,1,177881,Eliseo Santana Castillo,Tarjeta de crédito,Salta</t>
  </si>
  <si>
    <t>1215,V086,2024-03-08,Smartphone X,Telefonía,741722,3,2225166,Delfina Emma Tomé Nogués,Transferencia,Santa Fe</t>
  </si>
  <si>
    <t>5760,V087,2024-03-09,Smartwatch Y,Accesorios,177881,2,355762,Florina Aranda Pedrero,MercadoPago,Santa Fe</t>
  </si>
  <si>
    <t>2123,V088,2024-03-10,Auriculares Z,Accesorios,114971,2,229942,Tomasa Gálvez Mercader,Tarjeta de crédito,Buenos Aires</t>
  </si>
  <si>
    <t>3135,V089,2024-03-11,Auriculares Z,Accesorios,114971,2,229942,Ainara Lozano Arenas,Transferencia,CABA</t>
  </si>
  <si>
    <t>2125,V090,2024-03-12,Auriculares Z,Accesorios,114971,2,229942,Eugenio Bastida Gras,Tarjeta de crédito,Mendoza</t>
  </si>
  <si>
    <t>3383,V091,2024-03-12,Laptop Pro,Computación,1844533,1,1844533,Marta del Palomo,MercadoPago,Chubut</t>
  </si>
  <si>
    <t>7161,V092,2024-03-12,Smartphone X,Telefonía,741722,3,2225166,Tania Santana-Luna,MercadoPago,Misiones</t>
  </si>
  <si>
    <t>8439,V093,2024-03-14,Laptop Pro,Computación,1844533,1,1844533,Adoración Lluch Calderón,Transferencia,CABA</t>
  </si>
  <si>
    <t>6147,V094,2024-03-15,Smartwatch Y,Accesorios,177881,2,355762,Leocadia Salvà Moraleda,Transferencia,San Luis</t>
  </si>
  <si>
    <t>6166,V095,2024-03-15,Tablet S,Computación,707995,3,2123985,Gaspar Villalobos Abril,MercadoPago,Río Negro</t>
  </si>
  <si>
    <t>8379,V096,2024-03-16,Auriculares Z,Accesorios,114971,1,114971,Anabel Cuesta Benítez,Tarjeta de crédito,Tucumán</t>
  </si>
  <si>
    <t>9156,V097,2024-03-16,Laptop Pro,Computación,1844533,1,1844533,Feliciano Córdoba Lamas,Transferencia,Buenos Aires</t>
  </si>
  <si>
    <t>4412,V098,2024-03-19,Tablet S,Computación,707995,1,707995,Irma del Martinez,MercadoPago,Córdoba</t>
  </si>
  <si>
    <t>7492,V099,2024-03-20,Smartwatch Y,Accesorios,177881,2,355762,Noelia Ribes Mora,Efectivo,CABA</t>
  </si>
  <si>
    <t>1196,V100,2024-03-20,Auriculares Z,Accesorios,114971,1,114971,Carla del Garriga,Tarjeta de crédito,Misiones</t>
  </si>
  <si>
    <t>9476,V101,2024-03-22,Laptop Pro,Computación,1844533,2,3689066,Maximiliano de Navarrete,Transferencia,CABA</t>
  </si>
  <si>
    <t>3919,V102,2024-03-25,Smartphone X,Telefonía,741722,1,741722,Godofredo Vazquez-Moraleda,MercadoPago,Río Negro</t>
  </si>
  <si>
    <t>3831,V103,2024-03-25,Laptop Pro,Computación,1844533,3,5533599,Azahara Marcos Nogueira,Transferencia,Chubut</t>
  </si>
  <si>
    <t>5464,V104,2024-03-25,Auriculares Z,Accesorios,114971,1,114971,Carlota Ruperta Canet Pinilla,Efectivo,San Juan</t>
  </si>
  <si>
    <t>5329,V105,2024-03-26,Smartwatch Y,Accesorios,177881,2,355762,Berta Herranz,Tarjeta de crédito,Neuquén</t>
  </si>
  <si>
    <t>8473,V106,2024-03-26,Smartwatch Y,Accesorios,177881,2,355762,Saturnino Esteban,MercadoPago,CABA</t>
  </si>
  <si>
    <t>2293,V107,2024-03-27,Tablet S,Computación,707995,2,1415990,Rufino Puga Cuéllar,Efectivo,Tucumán</t>
  </si>
  <si>
    <t>4893,V108,2024-03-27,Smartphone X,Telefonía,741722,2,1483444,Francisca Vélez,Efectivo,Córdoba</t>
  </si>
  <si>
    <t>1376,V109,2024-03-27,Laptop Pro,Computación,1844533,3,5533599,Balduino del Santana,Tarjeta de crédito,San Luis</t>
  </si>
  <si>
    <t>2541,V110,2024-03-29,Laptop Pro,Computación,1844533,2,3689066,Iván Mate Sosa,Transferencia,Santa Fe</t>
  </si>
  <si>
    <t>8262,V111,2024-03-29,Laptop Pro,Computación,1844533,2,3689066,Ignacio Salinas-Pont,Transferencia,Córdoba</t>
  </si>
  <si>
    <t>1790,V112,2024-03-29,Laptop Pro,Computación,1844533,1,1844533,Casandra Evangelina Villaverde Torrents,Efectivo,Entre Ríos</t>
  </si>
  <si>
    <t>4347,V113,2024-03-31,Tablet S,Computación,707995,1,707995,Fausto Somoza-Herrero,Tarjeta de crédito,San Juan</t>
  </si>
  <si>
    <t>2761,V114,2024-04-01,Smartphone X,Telefonía,741722,1,741722,Adela Lorena Acuña Gallo,Transferencia,Buenos Aires</t>
  </si>
  <si>
    <t>4651,V115,2024-04-04,Smartwatch Y,Accesorios,177881,2,355762,Joaquín Severiano Sandoval Pou,Tarjeta de crédito,Chubut</t>
  </si>
  <si>
    <t>5274,V116,2024-04-05,Smartwatch Y,Accesorios,177881,1,177881,Florentina Amalia Téllez Soto,Transferencia,San Luis</t>
  </si>
  <si>
    <t>8131,V117,2024-04-05,Smartwatch Y,Accesorios,177881,2,355762,Silvio Miguel Chico,MercadoPago,Chubut</t>
  </si>
  <si>
    <t>8632,V118,2024-04-05,Smartphone X,Telefonía,741722,3,2225166,Ani Díez Nieto,Tarjeta de crédito,Salta</t>
  </si>
  <si>
    <t>3938,V119,2024-04-06,Smartwatch Y,Accesorios,177881,2,355762,Laura Valbuena Mur,MercadoPago,Chubut</t>
  </si>
  <si>
    <t>9221,V120,2024-04-06,Tablet S,Computación,707995,1,707995,Toni Guijarro Pedraza,Efectivo,Entre Ríos</t>
  </si>
  <si>
    <t>6773,V121,2024-04-06,Auriculares Z,Accesorios,114971,3,344913,Telmo Aurelio Vendrell Montes,Efectivo,Corrientes</t>
  </si>
  <si>
    <t>8283,V122,2024-04-07,Auriculares Z,Accesorios,114971,2,229942,Jennifer Barón Oliva,Efectivo,Santa Fe</t>
  </si>
  <si>
    <t>8999,V123,2024-04-07,Laptop Pro,Computación,1844533,1,1844533,Ximena Ramirez Ferrándiz,Efectivo,Entre Ríos</t>
  </si>
  <si>
    <t>8577,V124,2024-04-08,Smartwatch Y,Accesorios,177881,2,355762,Clarisa Tormo Ruano,MercadoPago,Río Negro</t>
  </si>
  <si>
    <t>3801,V125,2024-04-10,Smartwatch Y,Accesorios,177881,1,177881,Dolores Anglada Molina,Transferencia,Corrientes</t>
  </si>
  <si>
    <t>7623,V126,2024-04-11,Smartphone X,Telefonía,741722,3,2225166,Flavia Alberto Fabregat,MercadoPago,Río Negro</t>
  </si>
  <si>
    <t>9525,V127,2024-04-11,Auriculares Z,Accesorios,114971,1,114971,Miriam Gonzalo Seguí,Efectivo,Tucumán</t>
  </si>
  <si>
    <t>7293,V128,2024-04-11,Smartphone X,Telefonía,741722,3,2225166,Faustino Catalá Cano,Efectivo,CABA</t>
  </si>
  <si>
    <t>4416,V129,2024-04-13,Smartwatch Y,Accesorios,177881,2,355762,Cayetana Ágata Sales Prada,Efectivo,Misiones</t>
  </si>
  <si>
    <t>1375,V130,2024-04-13,Auriculares Z,Accesorios,114971,2,229942,Ovidio Reguera Arnau,Transferencia,Tucumán</t>
  </si>
  <si>
    <t>6702,V131,2024-04-13,Tablet S,Computación,707995,3,2123985,Wilfredo Ezequiel Segura Segovia,Efectivo,Neuquén</t>
  </si>
  <si>
    <t>3609,V132,2024-04-14,Auriculares Z,Accesorios,114971,1,114971,Lope del Espada,Transferencia,Misiones</t>
  </si>
  <si>
    <t>2098,V133,2024-04-15,Laptop Pro,Computación,1844533,1,1844533,Leonardo Villena Jordán,Transferencia,Corrientes</t>
  </si>
  <si>
    <t>6056,V134,2024-04-15,Smartwatch Y,Accesorios,177881,2,355762,Elodia Casares Zapata,Transferencia,Santa Fe</t>
  </si>
  <si>
    <t>6293,V135,2024-04-15,Tablet S,Computación,707995,3,2123985,Bernarda Benavides-Rosado,Transferencia,Tucumán</t>
  </si>
  <si>
    <t>1089,V136,2024-04-16,Smartwatch Y,Accesorios,177881,2,355762,Anunciación Tejera Alba,Transferencia,Santa Fe</t>
  </si>
  <si>
    <t>2435,V137,2024-04-16,Smartwatch Y,Accesorios,177881,3,533643,Ruth Giménez Pol,Efectivo,Buenos Aires</t>
  </si>
  <si>
    <t>6996,V138,2024-04-17,Laptop Pro,Computación,1844533,2,3689066,Luís Sevillano Comas,Tarjeta de crédito,Santa Fe</t>
  </si>
  <si>
    <t>7627,V139,2024-04-18,Laptop Pro,Computación,1844533,1,1844533,Faustino Garrido Toro,Transferencia,San Luis</t>
  </si>
  <si>
    <t>7207,V140,2024-04-19,Smartwatch Y,Accesorios,177881,1,177881,Salud Cánovas-Arias,Tarjeta de crédito,Río Negro</t>
  </si>
  <si>
    <t>2921,V141,2024-04-19,Smartwatch Y,Accesorios,177881,2,355762,Lucio Pont-Díaz,Tarjeta de crédito,San Juan</t>
  </si>
  <si>
    <t>2560,V142,2024-04-20,Auriculares Z,Accesorios,114971,3,344913,Griselda Ramírez Porcel,Transferencia,Buenos Aires</t>
  </si>
  <si>
    <t>3125,V143,2024-04-21,Laptop Pro,Computación,1844533,1,1844533,Amaya Herranz Vila,Tarjeta de crédito,Corrientes</t>
  </si>
  <si>
    <t>3888,V144,2024-04-22,Smartwatch Y,Accesorios,177881,3,533643,Azahara del Amor,Efectivo,San Juan</t>
  </si>
  <si>
    <t>8268,V145,2024-04-22,Smartwatch Y,Accesorios,177881,1,177881,Florencia Ramis Ureña,MercadoPago,Misiones</t>
  </si>
  <si>
    <t>1874,V146,2024-04-22,Smartphone X,Telefonía,741722,2,1483444,Ruy Bru Valenciano,Efectivo,Chubut</t>
  </si>
  <si>
    <t>2471,V147,2024-04-23,Laptop Pro,Computación,1844533,3,5533599,Arturo Custodio Real Grande,Transferencia,Río Negro</t>
  </si>
  <si>
    <t>7289,V148,2024-04-24,Smartwatch Y,Accesorios,177881,1,177881,Rosenda Verdú Aguilar,MercadoPago,Río Negro</t>
  </si>
  <si>
    <t>6828,V149,2024-04-24,Smartphone X,Telefonía,741722,1,741722,Adelaida Infante,MercadoPago,Río Negro</t>
  </si>
  <si>
    <t>7290,V150,2024-04-24,Smartphone X,Telefonía,741722,2,1483444,Nico Calatayud Gomez,Tarjeta de crédito,Santa Fe</t>
  </si>
  <si>
    <t>7709,V151,2024-04-24,Tablet S,Computación,707995,1,707995,Susana Castell Moraleda,Transferencia,Córdoba</t>
  </si>
  <si>
    <t>5222,V152,2024-04-25,Laptop Pro,Computación,1844533,2,3689066,Alejandra Arranz-Olivé,Tarjeta de crédito,San Juan</t>
  </si>
  <si>
    <t>2221,V153,2024-04-25,Smartphone X,Telefonía,741722,3,2225166,Quique Bayona Cerdá,Efectivo,Buenos Aires</t>
  </si>
  <si>
    <t>8166,V154,2024-04-25,Tablet S,Computación,707995,2,1415990,Santos Barranco Catalán,Transferencia,Río Negro</t>
  </si>
  <si>
    <t>4445,V155,2024-04-26,Smartphone X,Telefonía,741722,3,2225166,Marcelino Báez Sastre,Tarjeta de crédito,Salta</t>
  </si>
  <si>
    <t>9288,V156,2024-04-26,Smartphone X,Telefonía,741722,1,741722,Aitor del Román,MercadoPago,Río Negro</t>
  </si>
  <si>
    <t>4538,V157,2024-04-26,Tablet S,Computación,707995,1,707995,Virgilio de Mena,Transferencia,San Juan</t>
  </si>
  <si>
    <t>1105,V158,2024-04-27,Smartphone X,Telefonía,741722,3,2225166,Reyna Morera Galiano,MercadoPago,Salta</t>
  </si>
  <si>
    <t>4784,V159,2024-04-29,Tablet S,Computación,707995,3,2123985,María Cristina Juan Pedro,MercadoPago,Salta</t>
  </si>
  <si>
    <t>4317,V160,2024-04-29,Smartwatch Y,Accesorios,177881,3,533643,Vinicio Calderón Calleja,Tarjeta de crédito,Río Negro</t>
  </si>
  <si>
    <t>2597,V161,2024-04-30,Smartphone X,Telefonía,741722,3,2225166,Marisol del Baeza,MercadoPago,Buenos Aires</t>
  </si>
  <si>
    <t>9458,V162,2024-04-30,Auriculares Z,Accesorios,114971,3,344913,Merche Figuerola,MercadoPago,Corrientes</t>
  </si>
  <si>
    <t>5012,V163,2024-05-01,Auriculares Z,Accesorios,114971,1,114971,Hector Miguel Cid,Tarjeta de crédito,San Juan</t>
  </si>
  <si>
    <t>9875,V164,2024-05-01,Auriculares Z,Accesorios,114971,2,229942,Calixto Real Tello,Transferencia,Santa Fe</t>
  </si>
  <si>
    <t>3177,V165,2024-05-03,Smartwatch Y,Accesorios,177881,3,533643,Reinaldo de Villar,Efectivo,CABA</t>
  </si>
  <si>
    <t>4984,V166,2024-05-04,Smartphone X,Telefonía,741722,3,2225166,Aureliano de Alfaro,Transferencia,San Juan</t>
  </si>
  <si>
    <t>9717,V167,2024-05-06,Smartphone X,Telefonía,741722,2,1483444,Vanesa Almagro Ugarte,MercadoPago,CABA</t>
  </si>
  <si>
    <t>7136,V168,2024-05-06,Smartphone X,Telefonía,741722,1,741722,Primitivo Olivera Olmedo,Tarjeta de crédito,Mendoza</t>
  </si>
  <si>
    <t>8334,V169,2024-05-06,Smartphone X,Telefonía,741722,1,741722,Ramona Riera Cabeza,Tarjeta de crédito,Chubut</t>
  </si>
  <si>
    <t>3796,V170,2024-05-06,Laptop Pro,Computación,1844533,2,3689066,Ascensión de Ojeda,Efectivo,Tucumán</t>
  </si>
  <si>
    <t>8034,V171,2024-05-06,Smartphone X,Telefonía,741722,1,741722,Custodio Álvarez-Simó,Tarjeta de crédito,Tucumán</t>
  </si>
  <si>
    <t>4137,V172,2024-05-07,Smartphone X,Telefonía,741722,3,2225166,Julio César Iglesia Águila,MercadoPago,Río Negro</t>
  </si>
  <si>
    <t>6193,V173,2024-05-07,Laptop Pro,Computación,1844533,3,5533599,Ana Belén Ortuño Dueñas,Efectivo,Corrientes</t>
  </si>
  <si>
    <t>9925,V174,2024-05-09,Auriculares Z,Accesorios,114971,1,114971,Carmina Caridad Julián Belmonte,Transferencia,Salta</t>
  </si>
  <si>
    <t>6763,V175,2024-05-10,Smartwatch Y,Accesorios,177881,1,177881,Gloria Bernarda Beltrán Nuñez,MercadoPago,Tucumán</t>
  </si>
  <si>
    <t>1598,V176,2024-05-10,Tablet S,Computación,707995,1,707995,Brunilda Castro,MercadoPago,Córdoba</t>
  </si>
  <si>
    <t>7107,V177,2024-05-10,Smartphone X,Telefonía,741722,3,2225166,Victor Jaén Folch,Transferencia,Córdoba</t>
  </si>
  <si>
    <t>3585,V178,2024-05-11,Smartwatch Y,Accesorios,177881,3,533643,Eliana Francisco Ramírez,MercadoPago,Salta</t>
  </si>
  <si>
    <t>9414,V179,2024-05-11,Auriculares Z,Accesorios,114971,3,344913,Pastora Pallarès Varela,Transferencia,Salta</t>
  </si>
  <si>
    <t>1423,V180,2024-05-11,Tablet S,Computación,707995,1,707995,Arturo Rodrigo-Borrego,Tarjeta de crédito,Santa Fe</t>
  </si>
  <si>
    <t>2757,V181,2024-05-13,Smartwatch Y,Accesorios,177881,2,355762,Chelo Pablo-Rodriguez,Efectivo,San Juan</t>
  </si>
  <si>
    <t>6001,V182,2024-05-13,Auriculares Z,Accesorios,114971,3,344913,Angelina Cánovas Roura,MercadoPago,CABA</t>
  </si>
  <si>
    <t>6095,V183,2024-05-14,Smartwatch Y,Accesorios,177881,3,533643,Lupe Pozuelo Barba,MercadoPago,San Juan</t>
  </si>
  <si>
    <t>5024,V184,2024-05-14,Auriculares Z,Accesorios,114971,2,229942,Carlito Nieto Madrid,Transferencia,San Juan</t>
  </si>
  <si>
    <t>5871,V185,2024-05-14,Auriculares Z,Accesorios,114971,2,229942,Custodio Estévez Perea,Transferencia,Corrientes</t>
  </si>
  <si>
    <t>2952,V186,2024-05-17,Smartphone X,Telefonía,741722,3,2225166,Jaime Berenguer,Tarjeta de crédito,Santa Fe</t>
  </si>
  <si>
    <t>5169,V187,2024-05-18,Tablet S,Computación,707995,2,1415990,Perla Verdejo Núñez,MercadoPago,Entre Ríos</t>
  </si>
  <si>
    <t>3706,V188,2024-05-19,Tablet S,Computación,707995,2,1415990,Amarilis Pagès Calderón,Efectivo,Salta</t>
  </si>
  <si>
    <t>4054,V189,2024-05-19,Laptop Pro,Computación,1844533,1,1844533,África María Ángeles Zabaleta Montesinos,Tarjeta de crédito,Tucumán</t>
  </si>
  <si>
    <t>3574,V190,2024-05-20,Auriculares Z,Accesorios,114971,3,344913,Jeremías Morillo Guerrero,Tarjeta de crédito,Tucumán</t>
  </si>
  <si>
    <t>5874,V191,2024-05-21,Auriculares Z,Accesorios,114971,3,344913,Isa Pastor Amat,Transferencia,Río Negro</t>
  </si>
  <si>
    <t>9625,V192,2024-05-21,Auriculares Z,Accesorios,114971,3,344913,Inmaculada Agudo Cortina,Transferencia,Mendoza</t>
  </si>
  <si>
    <t>3066,V193,2024-05-22,Smartwatch Y,Accesorios,177881,2,355762,Moreno Giménez Castrillo,Tarjeta de crédito,Corrientes</t>
  </si>
  <si>
    <t>3565,V194,2024-05-22,Tablet S,Computación,707995,3,2123985,Susanita Valenciano-Cabello,Transferencia,Neuquén</t>
  </si>
  <si>
    <t>8456,V195,2024-05-23,Laptop Pro,Computación,1844533,3,5533599,Amílcar Florentino Crespo Múñiz,Efectivo,Misiones</t>
  </si>
  <si>
    <t>9797,V196,2024-05-23,Smartphone X,Telefonía,741722,3,2225166,Teodora Bolaños Tello,MercadoPago,Chubut</t>
  </si>
  <si>
    <t>4301,V197,2024-05-24,Laptop Pro,Computación,1844533,3,5533599,Juan Cabello Velázquez,Tarjeta de crédito,CABA</t>
  </si>
  <si>
    <t>5054,V198,2024-05-25,Smartphone X,Telefonía,741722,1,741722,Laura Miralles Ribera,Tarjeta de crédito,Chubut</t>
  </si>
  <si>
    <t>3266,V199,2024-05-26,Smartwatch Y,Accesorios,177881,1,177881,Amparo Gomila,Efectivo,Córdoba</t>
  </si>
  <si>
    <t>4372,V200,2024-05-26,Tablet S,Computación,707995,2,1415990,América Roca Calvo,MercadoPago,Chubut</t>
  </si>
  <si>
    <t>7646,V201,2024-05-27,Auriculares Z,Accesorios,114971,3,344913,Clarisa Mur Porta,Tarjeta de crédito,Neuquén</t>
  </si>
  <si>
    <t>7313,V202,2024-05-27,Laptop Pro,Computación,1844533,2,3689066,Calista Ledesma Font,MercadoPago,CABA</t>
  </si>
  <si>
    <t>9375,V203,2024-05-28,Smartwatch Y,Accesorios,177881,2,355762,Adelina Juliá Carretero,Tarjeta de crédito,Santa Fe</t>
  </si>
  <si>
    <t>3044,V204,2024-05-30,Laptop Pro,Computación,1844533,1,1844533,Anselmo Gerónimo Castell Chacón,Transferencia,San Juan</t>
  </si>
  <si>
    <t>2299,V205,2024-05-31,Auriculares Z,Accesorios,114971,2,229942,Asdrubal Sierra-Valencia,Tarjeta de crédito,Chubut</t>
  </si>
  <si>
    <t>1950,V206,2024-06-01,Smartwatch Y,Accesorios,177881,3,533643,Ascensión Rincón Lerma,Tarjeta de crédito,Tucumán</t>
  </si>
  <si>
    <t>5033,V207,2024-06-02,Smartwatch Y,Accesorios,177881,2,355762,Bernardo Pineda Falcó,Efectivo,Córdoba</t>
  </si>
  <si>
    <t>1945,V208,2024-06-03,Laptop Pro,Computación,1844533,2,3689066,Atilio Benjamín Peñalver Hernando,Tarjeta de crédito,Santa Fe</t>
  </si>
  <si>
    <t>8070,V209,2024-06-04,Auriculares Z,Accesorios,114971,2,229942,Clementina Almeida Bauzà,MercadoPago,Misiones</t>
  </si>
  <si>
    <t>6561,V210,2024-06-04,Smartwatch Y,Accesorios,177881,1,177881,Pepita Olivera Báez,Efectivo,San Juan</t>
  </si>
  <si>
    <t>9417,V211,2024-06-04,Tablet S,Computación,707995,2,1415990,Anacleto Muro-Luís,Transferencia,Neuquén</t>
  </si>
  <si>
    <t>5395,V212,2024-06-05,Smartphone X,Telefonía,741722,2,1483444,Manu Morán Toro,MercadoPago,Tucumán</t>
  </si>
  <si>
    <t>6357,V213,2024-06-05,Laptop Pro,Computación,1844533,1,1844533,Berta Heredia Caro,Transferencia,San Juan</t>
  </si>
  <si>
    <t>2522,V214,2024-06-06,Laptop Pro,Computación,1844533,3,5533599,Alfonso Neira Arenas,Efectivo,Neuquén</t>
  </si>
  <si>
    <t>3523,V215,2024-06-07,Tablet S,Computación,707995,1,707995,Heriberto Egea Sáez,Efectivo,CABA</t>
  </si>
  <si>
    <t>3085,V216,2024-06-07,Laptop Pro,Computación,1844533,2,3689066,Alcides Ricart Tejedor,Efectivo,Buenos Aires</t>
  </si>
  <si>
    <t>5347,V217,2024-06-08,Smartphone X,Telefonía,741722,2,1483444,Teo Noriega Cabanillas,Transferencia,Neuquén</t>
  </si>
  <si>
    <t>1266,V218,2024-06-09,Laptop Pro,Computación,1844533,3,5533599,Nazaret de Fábregas,Tarjeta de crédito,Río Negro</t>
  </si>
  <si>
    <t>8631,V219,2024-06-09,Laptop Pro,Computación,1844533,1,1844533,Leticia Conesa Lobo,Transferencia,Santa Fe</t>
  </si>
  <si>
    <t>3301,V220,2024-06-10,Laptop Pro,Computación,1844533,2,3689066,Óscar Esteban Oliver,Transferencia,Río Negro</t>
  </si>
  <si>
    <t>4199,V221,2024-06-10,Smartwatch Y,Accesorios,177881,1,177881,Marisol Villa Escudero,Efectivo,Santa Fe</t>
  </si>
  <si>
    <t>9982,V222,2024-06-10,Tablet S,Computación,707995,1,707995,Alicia Somoza-Nuñez,MercadoPago,Corrientes</t>
  </si>
  <si>
    <t>5460,V223,2024-06-10,Tablet S,Computación,707995,3,2123985,Mamen Gonzalo Osorio,Efectivo,Santa Fe</t>
  </si>
  <si>
    <t>8682,V224,2024-06-11,Auriculares Z,Accesorios,114971,2,229942,Augusto Tamarit Benítez,Tarjeta de crédito,CABA</t>
  </si>
  <si>
    <t>2774,V225,2024-06-12,Tablet S,Computación,707995,1,707995,Ricarda Perea Ayllón,Tarjeta de crédito,San Juan</t>
  </si>
  <si>
    <t>2802,V226,2024-06-12,Smartwatch Y,Accesorios,177881,2,355762,Ricardo Anguita Reyes,Efectivo,Corrientes</t>
  </si>
  <si>
    <t>9382,V227,2024-06-12,Smartphone X,Telefonía,741722,3,2225166,Trinidad Ayllón Vendrell,Tarjeta de crédito,Santa Fe</t>
  </si>
  <si>
    <t>2751,V228,2024-06-14,Auriculares Z,Accesorios,114971,2,229942,Gil Salgado Ferrán,Efectivo,Río Negro</t>
  </si>
  <si>
    <t>8020,V229,2024-06-15,Auriculares Z,Accesorios,114971,2,229942,Leire del Alvarez,Transferencia,Entre Ríos</t>
  </si>
  <si>
    <t>2589,V230,2024-06-15,Smartphone X,Telefonía,741722,1,741722,Ceferino Nieto Sanabria,Efectivo,Córdoba</t>
  </si>
  <si>
    <t>7577,V231,2024-06-15,Auriculares Z,Accesorios,114971,2,229942,Mateo Llobet Blanco,Transferencia,Tucumán</t>
  </si>
  <si>
    <t>9902,V232,2024-06-16,Smartphone X,Telefonía,741722,2,1483444,Apolonia Anita Torre Jover,Transferencia,San Juan</t>
  </si>
  <si>
    <t>7058,V233,2024-06-16,Laptop Pro,Computación,1844533,3,5533599,Bienvenida del Maza,Efectivo,Neuquén</t>
  </si>
  <si>
    <t>6401,V234,2024-06-16,Smartphone X,Telefonía,741722,3,2225166,Cloe Simó Pedrosa,Transferencia,Buenos Aires</t>
  </si>
  <si>
    <t>9974,V235,2024-06-16,Smartwatch Y,Accesorios,177881,1,177881,Loreto Manso Pavón,Transferencia,San Juan</t>
  </si>
  <si>
    <t>4633,V236,2024-06-16,Tablet S,Computación,707995,1,707995,Evangelina Riquelme Sevillano,Transferencia,Río Negro</t>
  </si>
  <si>
    <t>7760,V237,2024-06-17,Smartphone X,Telefonía,741722,2,1483444,Andrés Rebollo Amaya,MercadoPago,Salta</t>
  </si>
  <si>
    <t>3011,V238,2024-06-17,Smartphone X,Telefonía,741722,3,2225166,Atilio Jacobo Pera Miguel,Transferencia,Mendoza</t>
  </si>
  <si>
    <t>8790,V239,2024-06-17,Smartwatch Y,Accesorios,177881,1,177881,Susana Fortuny Pujol,Tarjeta de crédito,Misiones</t>
  </si>
  <si>
    <t>6072,V240,2024-06-17,Smartwatch Y,Accesorios,177881,1,177881,Jose Manuel Mata-Villalonga,Transferencia,Río Negro</t>
  </si>
  <si>
    <t>8547,V241,2024-06-18,Tablet S,Computación,707995,1,707995,Bonifacio Bartolomé Fabra,Transferencia,Entre Ríos</t>
  </si>
  <si>
    <t>7071,V242,2024-06-18,Smartwatch Y,Accesorios,177881,3,533643,Américo Guijarro-Salcedo,Efectivo,Córdoba</t>
  </si>
  <si>
    <t>4071,V243,2024-06-19,Smartphone X,Telefonía,741722,2,1483444,Javi Mancebo Isern,Efectivo,Neuquén</t>
  </si>
  <si>
    <t>3050,V244,2024-06-21,Smartphone X,Telefonía,741722,3,2225166,Dionisio Peña Acosta,Tarjeta de crédito,Mendoza</t>
  </si>
  <si>
    <t>2001,V245,2024-06-23,Smartphone X,Telefonía,741722,3,2225166,Fabián Escudero Bernat,Transferencia,CABA</t>
  </si>
  <si>
    <t>7892,V246,2024-06-25,Auriculares Z,Accesorios,114971,3,344913,Heliodoro Zurita Peralta,Efectivo,Entre Ríos</t>
  </si>
  <si>
    <t>3699,V247,2024-06-25,Smartphone X,Telefonía,741722,3,2225166,Ascensión Caparrós,Transferencia,Tucumán</t>
  </si>
  <si>
    <t>9256,V248,2024-06-26,Smartwatch Y,Accesorios,177881,1,177881,Daniel Marin,MercadoPago,San Juan</t>
  </si>
  <si>
    <t>4709,V249,2024-06-27,Auriculares Z,Accesorios,114971,3,344913,Lara Taboada Antón,Transferencia,San Juan</t>
  </si>
  <si>
    <t>4474,V250,2024-06-27,Smartwatch Y,Accesorios,177881,3,533643,Rogelio Zamorano Rebollo,Transferencia,Neuquén</t>
  </si>
  <si>
    <t>2408,V251,2024-06-27,Laptop Pro,Computación,1844533,1,1844533,Isabel Ripoll Pi,Efectivo,Mendoza</t>
  </si>
  <si>
    <t>4356,V252,2024-06-27,Auriculares Z,Accesorios,114971,2,229942,Roberto Pino Cortes,MercadoPago,San Luis</t>
  </si>
  <si>
    <t>1528,V253,2024-06-27,Laptop Pro,Computación,1844533,1,1844533,Delfina Carnero,Tarjeta de crédito,San Juan</t>
  </si>
  <si>
    <t>2733,V254,2024-06-27,Tablet S,Computación,707995,1,707995,Baltasar Viña Ibañez,Tarjeta de crédito,Salta</t>
  </si>
  <si>
    <t>1928,V255,2024-06-29,Laptop Pro,Computación,1844533,2,3689066,Rolando Correa,Efectivo,San Luis</t>
  </si>
  <si>
    <t>8583,V256,2024-06-29,Smartwatch Y,Accesorios,177881,3,533643,Marcos del Rivera,Transferencia,Entre Ríos</t>
  </si>
  <si>
    <t>1154,V257,2024-06-29,Laptop Pro,Computación,1844533,1,1844533,Segismundo Zamorano Arellano,MercadoPago,Entre Ríos</t>
  </si>
  <si>
    <t>6639,V258,2024-07-02,Smartphone X,Telefonía,741722,2,1483444,Tadeo Alfaro Quintana,Efectivo,Entre Ríos</t>
  </si>
  <si>
    <t>9759,V259,2024-07-03,Tablet S,Computación,707995,2,1415990,Duilio Gámez Luque,Tarjeta de crédito,Río Negro</t>
  </si>
  <si>
    <t>3064,V260,2024-07-03,Auriculares Z,Accesorios,114971,3,344913,Cloe Alonso-Tolosa,Transferencia,Corrientes</t>
  </si>
  <si>
    <t>3130,V261,2024-07-03,Tablet S,Computación,707995,1,707995,Gerónimo Prada Recio,MercadoPago,Neuquén</t>
  </si>
  <si>
    <t>7375,V262,2024-07-04,Tablet S,Computación,707995,1,707995,Aurelio Aguilar Casares,Tarjeta de crédito,Corrientes</t>
  </si>
  <si>
    <t>1181,V263,2024-07-06,Laptop Pro,Computación,1844533,1,1844533,Encarnita Figuerola Blanco,Transferencia,Tucumán</t>
  </si>
  <si>
    <t>2453,V264,2024-07-06,Tablet S,Computación,707995,3,2123985,Belén Ruano-Puga,MercadoPago,Mendoza</t>
  </si>
  <si>
    <t>1775,V265,2024-07-06,Tablet S,Computación,707995,2,1415990,Sancho Tolosa Vilar,Efectivo,Corrientes</t>
  </si>
  <si>
    <t>6162,V266,2024-07-07,Smartwatch Y,Accesorios,177881,2,355762,Lucio Valderrama-Losada,MercadoPago,Córdoba</t>
  </si>
  <si>
    <t>4523,V267,2024-07-07,Tablet S,Computación,707995,1,707995,Rafaela del Gordillo,Efectivo,Córdoba</t>
  </si>
  <si>
    <t>3912,V268,2024-07-08,Smartwatch Y,Accesorios,177881,2,355762,Reyes Ureña Cuervo,Efectivo,Misiones</t>
  </si>
  <si>
    <t>4281,V269,2024-07-09,Laptop Pro,Computación,1844533,1,1844533,Beatriz Ródenas Castejón,MercadoPago,Corrientes</t>
  </si>
  <si>
    <t>7885,V270,2024-07-09,Laptop Pro,Computación,1844533,1,1844533,Débora Bárbara Bellido Duarte,MercadoPago,Córdoba</t>
  </si>
  <si>
    <t>5780,V271,2024-07-09,Tablet S,Computación,707995,3,2123985,Mateo Quevedo,Tarjeta de crédito,Misiones</t>
  </si>
  <si>
    <t>9502,V272,2024-07-10,Smartphone X,Telefonía,741722,2,1483444,Otilia Corral Landa,MercadoPago,San Juan</t>
  </si>
  <si>
    <t>4551,V273,2024-07-11,Tablet S,Computación,707995,3,2123985,Azucena Coronado,Transferencia,Neuquén</t>
  </si>
  <si>
    <t>1668,V274,2024-07-11,Laptop Pro,Computación,1844533,1,1844533,Sigfrido Bello Velasco,Tarjeta de crédito,Corrientes</t>
  </si>
  <si>
    <t>3146,V275,2024-07-11,Laptop Pro,Computación,1844533,2,3689066,Fermín Zamora Arnaiz,Efectivo,Buenos Aires</t>
  </si>
  <si>
    <t>5787,V276,2024-07-11,Smartphone X,Telefonía,741722,3,2225166,Gastón Tapia,Tarjeta de crédito,Río Negro</t>
  </si>
  <si>
    <t>5714,V277,2024-07-12,Smartwatch Y,Accesorios,177881,2,355762,Regina Pozuelo Pino,Efectivo,CABA</t>
  </si>
  <si>
    <t>2706,V278,2024-07-12,Laptop Pro,Computación,1844533,3,5533599,Saturnino Valenzuela Vall,MercadoPago,San Juan</t>
  </si>
  <si>
    <t>6918,V279,2024-07-13,Smartwatch Y,Accesorios,177881,3,533643,Calista del Naranjo,Tarjeta de crédito,CABA</t>
  </si>
  <si>
    <t>5360,V280,2024-07-13,Smartwatch Y,Accesorios,177881,1,177881,Felicidad Morán,Transferencia,San Juan</t>
  </si>
  <si>
    <t>3756,V281,2024-07-13,Smartwatch Y,Accesorios,177881,1,177881,Fabiana Lumbreras Alcázar,MercadoPago,Misiones</t>
  </si>
  <si>
    <t>6510,V282,2024-07-13,Auriculares Z,Accesorios,114971,3,344913,Miguel Ángel Sanmiguel Carballo,Transferencia,Misiones</t>
  </si>
  <si>
    <t>1958,V283,2024-07-14,Laptop Pro,Computación,1844533,3,5533599,Inocencio Jove Roma,Transferencia,Misiones</t>
  </si>
  <si>
    <t>5317,V284,2024-07-15,Smartwatch Y,Accesorios,177881,2,355762,Adalberto Agullo Gaya,MercadoPago,Salta</t>
  </si>
  <si>
    <t>8579,V285,2024-07-16,Smartwatch Y,Accesorios,177881,2,355762,Rosaura Paredes Acevedo,Efectivo,Córdoba</t>
  </si>
  <si>
    <t>4743,V286,2024-07-17,Smartwatch Y,Accesorios,177881,2,355762,Eusebio Solera,MercadoPago,CABA</t>
  </si>
  <si>
    <t>5277,V287,2024-07-17,Smartwatch Y,Accesorios,177881,1,177881,Bibiana Batlle Fernandez,MercadoPago,Entre Ríos</t>
  </si>
  <si>
    <t>6802,V288,2024-07-18,Laptop Pro,Computación,1844533,3,5533599,Roberto Gelabert Gras,Transferencia,Salta</t>
  </si>
  <si>
    <t>1841,V289,2024-07-19,Tablet S,Computación,707995,1,707995,Severiano Julián Manrique,MercadoPago,Buenos Aires</t>
  </si>
  <si>
    <t>4966,V290,2024-07-19,Laptop Pro,Computación,1844533,1,1844533,Alexandra Pavón Avilés,MercadoPago,Río Negro</t>
  </si>
  <si>
    <t>2039,V291,2024-07-20,Auriculares Z,Accesorios,114971,2,229942,Gertrudis Santamaría Oller,Tarjeta de crédito,Salta</t>
  </si>
  <si>
    <t>1922,V292,2024-07-21,Smartwatch Y,Accesorios,177881,3,533643,Carmen Peinado Cuesta,MercadoPago,Chubut</t>
  </si>
  <si>
    <t>7870,V293,2024-07-21,Laptop Pro,Computación,1844533,3,5533599,Olalla Jiménez,MercadoPago,Entre Ríos</t>
  </si>
  <si>
    <t>5089,V294,2024-07-22,Laptop Pro,Computación,1844533,1,1844533,José Mancebo,Transferencia,Río Negro</t>
  </si>
  <si>
    <t>8232,V295,2024-07-22,Smartwatch Y,Accesorios,177881,3,533643,Adolfo Rozas Gálvez,MercadoPago,Buenos Aires</t>
  </si>
  <si>
    <t>9039,V296,2024-07-22,Smartwatch Y,Accesorios,177881,2,355762,Manolo Abellán Ureña,Transferencia,San Juan</t>
  </si>
  <si>
    <t>5607,V297,2024-07-23,Smartwatch Y,Accesorios,177881,1,177881,Poncio Eutimio Sosa Rocamora,Transferencia,Corrientes</t>
  </si>
  <si>
    <t>8184,V298,2024-07-25,Laptop Pro,Computación,1844533,1,1844533,Benito Ferrándiz Salinas,Efectivo,Corrientes</t>
  </si>
  <si>
    <t>6565,V299,2024-07-25,Laptop Pro,Computación,1844533,2,3689066,Gregorio Molins-Cánovas,Efectivo,San Luis</t>
  </si>
  <si>
    <t>6417,V300,2024-07-26,Smartwatch Y,Accesorios,177881,1,177881,Etelvina Pinedo Moreno,Efectivo,Santa Fe</t>
  </si>
  <si>
    <t>9133,V301,2024-07-27,Auriculares Z,Accesorios,114971,2,229942,Enrique Gallardo,Transferencia,Neuquén</t>
  </si>
  <si>
    <t>6069,V302,2024-07-28,Smartphone X,Telefonía,741722,2,1483444,Rosenda Alonso Salinas,Tarjeta de crédito,Tucumán</t>
  </si>
  <si>
    <t>9113,V303,2024-07-30,Tablet S,Computación,707995,2,1415990,Emelina de Torrents,Efectivo,Neuquén</t>
  </si>
  <si>
    <t>1209,V304,2024-07-30,Smartwatch Y,Accesorios,177881,2,355762,Silvestre Barrios,Tarjeta de crédito,Salta</t>
  </si>
  <si>
    <t>7690,V305,2024-07-30,Auriculares Z,Accesorios,114971,1,114971,Miriam de Yáñez,MercadoPago,Misiones</t>
  </si>
  <si>
    <t>6197,V306,2024-07-31,Tablet S,Computación,707995,2,1415990,María Del Carmen Cadenas Aguado,Transferencia,Río Negro</t>
  </si>
  <si>
    <t>7408,V307,2024-07-31,Smartwatch Y,Accesorios,177881,1,177881,Yago Asensio-Rocamora,MercadoPago,Buenos Aires</t>
  </si>
  <si>
    <t>8128,V308,2024-08-01,Auriculares Z,Accesorios,114971,3,344913,Luisa Ferreras Llamas,Efectivo,Río Negro</t>
  </si>
  <si>
    <t>1889,V309,2024-08-01,Smartphone X,Telefonía,741722,1,741722,Nacho Vilaplana Reina,Transferencia,CABA</t>
  </si>
  <si>
    <t>7016,V310,2024-08-01,Smartwatch Y,Accesorios,177881,2,355762,Cleto Madrid-Mir,Tarjeta de crédito,Salta</t>
  </si>
  <si>
    <t>6387,V311,2024-08-02,Tablet S,Computación,707995,1,707995,Encarnacion de Blázquez,Tarjeta de crédito,Misiones</t>
  </si>
  <si>
    <t>9593,V312,2024-08-04,Laptop Pro,Computación,1844533,2,3689066,Cristian Vara Montesinos,Tarjeta de crédito,San Juan</t>
  </si>
  <si>
    <t>5178,V313,2024-08-04,Smartphone X,Telefonía,741722,1,741722,Rosendo Reguera-Cabañas,Efectivo,San Luis</t>
  </si>
  <si>
    <t>2760,V314,2024-08-04,Smartwatch Y,Accesorios,177881,3,533643,Pepita Ainara Ponce Quintana,MercadoPago,Buenos Aires</t>
  </si>
  <si>
    <t>2367,V315,2024-08-04,Laptop Pro,Computación,1844533,1,1844533,Enrique del Gárate,Tarjeta de crédito,Chubut</t>
  </si>
  <si>
    <t>4400,V316,2024-08-04,Smartwatch Y,Accesorios,177881,3,533643,Alba del Estévez,MercadoPago,Misiones</t>
  </si>
  <si>
    <t>2008,V317,2024-08-04,Smartphone X,Telefonía,741722,2,1483444,Lara Cerro Prat,Transferencia,San Luis</t>
  </si>
  <si>
    <t>1160,V318,2024-08-05,Smartphone X,Telefonía,741722,1,741722,Fernando Sacristán Espejo,MercadoPago,Corrientes</t>
  </si>
  <si>
    <t>5186,V319,2024-08-05,Laptop Pro,Computación,1844533,2,3689066,Aitor Girón Cases,Tarjeta de crédito,Neuquén</t>
  </si>
  <si>
    <t>6737,V320,2024-08-06,Smartwatch Y,Accesorios,177881,3,533643,Jimena de Tejero,MercadoPago,Tucumán</t>
  </si>
  <si>
    <t>8308,V321,2024-08-06,Smartphone X,Telefonía,741722,3,2225166,Rolando Barranco-Mora,Transferencia,CABA</t>
  </si>
  <si>
    <t>3313,V322,2024-08-06,Auriculares Z,Accesorios,114971,2,229942,Manolo del Coll,MercadoPago,Buenos Aires</t>
  </si>
  <si>
    <t>6012,V323,2024-08-06,Smartphone X,Telefonía,741722,3,2225166,Evita Sandra Caro Bonet,Transferencia,San Juan</t>
  </si>
  <si>
    <t>7512,V324,2024-08-07,Smartwatch Y,Accesorios,177881,3,533643,Leocadio Robledo Bermúdez,MercadoPago,Misiones</t>
  </si>
  <si>
    <t>8198,V325,2024-08-09,Laptop Pro,Computación,1844533,3,5533599,Anunciación Menéndez Gimeno,Tarjeta de crédito,San Luis</t>
  </si>
  <si>
    <t>4936,V326,2024-08-10,Auriculares Z,Accesorios,114971,2,229942,Luisa Porras Torrecilla,Efectivo,Corrientes</t>
  </si>
  <si>
    <t>1511,V327,2024-08-10,Smartwatch Y,Accesorios,177881,3,533643,Carlito Mercader Olivera,Tarjeta de crédito,Entre Ríos</t>
  </si>
  <si>
    <t>8054,V328,2024-08-10,Auriculares Z,Accesorios,114971,1,114971,Araceli Grande León,MercadoPago,Mendoza</t>
  </si>
  <si>
    <t>9879,V329,2024-08-11,Auriculares Z,Accesorios,114971,1,114971,Nerea Moll Pellicer,Tarjeta de crédito,San Luis</t>
  </si>
  <si>
    <t>8649,V330,2024-08-11,Smartphone X,Telefonía,741722,1,741722,Hector Reina-Martí,Efectivo,Entre Ríos</t>
  </si>
  <si>
    <t>7415,V331,2024-08-11,Smartwatch Y,Accesorios,177881,1,177881,Delfina Cañas Sosa,Tarjeta de crédito,Santa Fe</t>
  </si>
  <si>
    <t>4557,V332,2024-08-14,Laptop Pro,Computación,1844533,2,3689066,José María Montesinos-Samper,Transferencia,Mendoza</t>
  </si>
  <si>
    <t>6467,V333,2024-08-14,Tablet S,Computación,707995,3,2123985,Evita Rico Pelayo,MercadoPago,Buenos Aires</t>
  </si>
  <si>
    <t>7882,V334,2024-08-14,Tablet S,Computación,707995,1,707995,Tatiana Alvarez Quiroga,Efectivo,CABA</t>
  </si>
  <si>
    <t>2762,V335,2024-08-15,Auriculares Z,Accesorios,114971,3,344913,Dalila Chamorro Hoz,Transferencia,Chubut</t>
  </si>
  <si>
    <t>7943,V336,2024-08-16,Auriculares Z,Accesorios,114971,2,229942,Lidia Tolosa Querol,Tarjeta de crédito,Río Negro</t>
  </si>
  <si>
    <t>7945,V337,2024-08-17,Auriculares Z,Accesorios,114971,3,344913,Gloria del Beltran,Transferencia,Río Negro</t>
  </si>
  <si>
    <t>5224,V338,2024-08-17,Laptop Pro,Computación,1844533,3,5533599,Urbano de Barón,Efectivo,San Juan</t>
  </si>
  <si>
    <t>2915,V339,2024-08-17,Laptop Pro,Computación,1844533,1,1844533,Amor Calderón Gonzalez,MercadoPago,Chubut</t>
  </si>
  <si>
    <t>6984,V340,2024-08-17,Smartphone X,Telefonía,741722,3,2225166,Crescencia Barba Lucena,Transferencia,Río Negro</t>
  </si>
  <si>
    <t>6612,V341,2024-08-19,Smartphone X,Telefonía,741722,1,741722,Adelina Ballesteros Lloret,Transferencia,Corrientes</t>
  </si>
  <si>
    <t>9125,V342,2024-08-20,Laptop Pro,Computación,1844533,2,3689066,Jose Ignacio Jose Ramón Codina Carbó,Efectivo,Chubut</t>
  </si>
  <si>
    <t>7080,V343,2024-08-21,Laptop Pro,Computación,1844533,2,3689066,Tania Campillo-Pla,Transferencia,CABA</t>
  </si>
  <si>
    <t>4897,V344,2024-08-21,Smartphone X,Telefonía,741722,3,2225166,Rita Navarrete Cifuentes,Tarjeta de crédito,Río Negro</t>
  </si>
  <si>
    <t>1835,V345,2024-08-22,Smartwatch Y,Accesorios,177881,1,177881,Eliana Nicolau Posada,Tarjeta de crédito,Salta</t>
  </si>
  <si>
    <t>5191,V346,2024-08-22,Laptop Pro,Computación,1844533,3,5533599,Dimas Talavera-Arcos,Efectivo,San Juan</t>
  </si>
  <si>
    <t>6614,V347,2024-08-25,Laptop Pro,Computación,1844533,1,1844533,Poncio Arregui Andres,Transferencia,Chubut</t>
  </si>
  <si>
    <t>8137,V348,2024-08-25,Tablet S,Computación,707995,2,1415990,Joan de Sarabia,Transferencia,Misiones</t>
  </si>
  <si>
    <t>2356,V349,2024-08-26,Smartwatch Y,Accesorios,177881,3,533643,Tristán Cantero Alegre,Efectivo,Río Negro</t>
  </si>
  <si>
    <t>7910,V350,2024-08-27,Auriculares Z,Accesorios,114971,1,114971,Lino Carmelo Pinilla Miró,Efectivo,Río Negro</t>
  </si>
  <si>
    <t>1262,V351,2024-08-29,Smartphone X,Telefonía,741722,2,1483444,Prudencia Espejo Alberola,Tarjeta de crédito,Entre Ríos</t>
  </si>
  <si>
    <t>8290,V352,2024-08-30,Smartwatch Y,Accesorios,177881,3,533643,Hilario Alcalá Barragán,Efectivo,Corrientes</t>
  </si>
  <si>
    <t>5522,V353,2024-08-31,Smartwatch Y,Accesorios,177881,1,177881,Jose Ramón del Olivé,MercadoPago,Chubut</t>
  </si>
  <si>
    <t>6207,V354,2024-09-01,Smartphone X,Telefonía,741722,2,1483444,Morena Lamas Pacheco,Tarjeta de crédito,Córdoba</t>
  </si>
  <si>
    <t>5325,V355,2024-09-01,Laptop Pro,Computación,1844533,1,1844533,Camilo del Franch,Tarjeta de crédito,Misiones</t>
  </si>
  <si>
    <t>5056,V356,2024-09-02,Smartphone X,Telefonía,741722,3,2225166,Merche Serra-Arregui,Tarjeta de crédito,Corrientes</t>
  </si>
  <si>
    <t>9972,V357,2024-09-04,Tablet S,Computación,707995,2,1415990,África Jaume,Efectivo,CABA</t>
  </si>
  <si>
    <t>5296,V358,2024-09-05,Smartphone X,Telefonía,741722,1,741722,Edelmiro Armas Atienza,Tarjeta de crédito,Chubut</t>
  </si>
  <si>
    <t>7973,V359,2024-09-06,Laptop Pro,Computación,1844533,3,5533599,Berta Cabezas-Zaragoza,Efectivo,Córdoba</t>
  </si>
  <si>
    <t>7288,V360,2024-09-10,Smartwatch Y,Accesorios,177881,2,355762,Clemente Lobo,MercadoPago,Salta</t>
  </si>
  <si>
    <t>9911,V361,2024-09-13,Tablet S,Computación,707995,3,2123985,Bárbara Hernandez Noriega,Efectivo,Tucumán</t>
  </si>
  <si>
    <t>7372,V362,2024-09-13,Laptop Pro,Computación,1844533,1,1844533,Felix Villar Puerta,MercadoPago,Córdoba</t>
  </si>
  <si>
    <t>4116,V363,2024-09-14,Tablet S,Computación,707995,3,2123985,Pacífica Cabello Lumbreras,Tarjeta de crédito,CABA</t>
  </si>
  <si>
    <t>4952,V364,2024-09-15,Laptop Pro,Computación,1844533,2,3689066,Lucio Vito Dominguez Solís,Tarjeta de crédito,CABA</t>
  </si>
  <si>
    <t>5948,V365,2024-09-15,Auriculares Z,Accesorios,114971,2,229942,Dimas Expósito Checa,MercadoPago,Río Negro</t>
  </si>
  <si>
    <t>1766,V366,2024-09-15,Laptop Pro,Computación,1844533,1,1844533,Macaria Solano Manjón,Efectivo,Corrientes</t>
  </si>
  <si>
    <t>1623,V367,2024-09-16,Tablet S,Computación,707995,1,707995,Guadalupe Mora Camacho,Efectivo,Río Negro</t>
  </si>
  <si>
    <t>4235,V368,2024-09-17,Auriculares Z,Accesorios,114971,2,229942,Aurelio Valdés Becerra,Efectivo,San Juan</t>
  </si>
  <si>
    <t>3693,V369,2024-09-18,Auriculares Z,Accesorios,114971,2,229942,Flavia Santiago Moles,MercadoPago,Corrientes</t>
  </si>
  <si>
    <t>9104,V370,2024-09-18,Auriculares Z,Accesorios,114971,3,344913,Ricardo Piñol Contreras,Tarjeta de crédito,Entre Ríos</t>
  </si>
  <si>
    <t>7473,V371,2024-09-19,Tablet S,Computación,707995,3,2123985,Amaya Blanco Cid,MercadoPago,Salta</t>
  </si>
  <si>
    <t>9917,V372,2024-09-20,Tablet S,Computación,707995,1,707995,Nadia Montes Abril,Efectivo,Salta</t>
  </si>
  <si>
    <t>3514,V373,2024-09-20,Smartphone X,Telefonía,741722,3,2225166,Chema Garrido Gilabert,Tarjeta de crédito,Neuquén</t>
  </si>
  <si>
    <t>5954,V374,2024-09-20,Tablet S,Computación,707995,2,1415990,Heriberto Gallardo,MercadoPago,Entre Ríos</t>
  </si>
  <si>
    <t>7931,V375,2024-09-21,Laptop Pro,Computación,1844533,2,3689066,Josefa Berenguer Márquez,Transferencia,Tucumán</t>
  </si>
  <si>
    <t>9936,V376,2024-09-22,Smartphone X,Telefonía,741722,2,1483444,Olalla Fernández-Peral,Transferencia,Chubut</t>
  </si>
  <si>
    <t>7514,V377,2024-09-22,Laptop Pro,Computación,1844533,3,5533599,Sosimo Larrañaga Rios,Efectivo,Entre Ríos</t>
  </si>
  <si>
    <t>9377,V378,2024-09-22,Smartwatch Y,Accesorios,177881,1,177881,Dolores Bermudez Guillen,MercadoPago,Chubut</t>
  </si>
  <si>
    <t>5761,V379,2024-09-22,Smartphone X,Telefonía,741722,1,741722,Pacífica Pera,Tarjeta de crédito,Salta</t>
  </si>
  <si>
    <t>5426,V380,2024-09-22,Smartphone X,Telefonía,741722,2,1483444,Felipa Granados-Zorrilla,Transferencia,San Luis</t>
  </si>
  <si>
    <t>5693,V381,2024-09-24,Auriculares Z,Accesorios,114971,1,114971,Eutimio Villaverde-Iriarte,Tarjeta de crédito,Entre Ríos</t>
  </si>
  <si>
    <t>4660,V382,2024-09-24,Auriculares Z,Accesorios,114971,2,229942,Alicia Salmerón Mendez,Efectivo,San Luis</t>
  </si>
  <si>
    <t>2285,V383,2024-09-26,Smartwatch Y,Accesorios,177881,3,533643,Emiliano de Amigó,Transferencia,Tucumán</t>
  </si>
  <si>
    <t>6852,V384,2024-09-26,Tablet S,Computación,707995,2,1415990,Maximino Sainz,Transferencia,Entre Ríos</t>
  </si>
  <si>
    <t>3784,V385,2024-09-27,Smartphone X,Telefonía,741722,2,1483444,Patricia Pareja Benavente,Tarjeta de crédito,Córdoba</t>
  </si>
  <si>
    <t>5756,V386,2024-09-28,Tablet S,Computación,707995,1,707995,Balduino Mendez Bartolomé,MercadoPago,San Juan</t>
  </si>
  <si>
    <t>4087,V387,2024-09-29,Smartwatch Y,Accesorios,177881,3,533643,Rebeca López Quero,Efectivo,Neuquén</t>
  </si>
  <si>
    <t>6750,V388,2024-09-29,Auriculares Z,Accesorios,114971,1,114971,Etelvina Palau Almansa,Transferencia,Tucumán</t>
  </si>
  <si>
    <t>6520,V389,2024-09-29,Auriculares Z,Accesorios,114971,2,229942,Heliodoro Heliodoro Recio Sáenz,Transferencia,CABA</t>
  </si>
  <si>
    <t>4782,V390,2024-09-30,Laptop Pro,Computación,1844533,3,5533599,Encarna Fuertes Roura,Tarjeta de crédito,Mendoza</t>
  </si>
  <si>
    <t>3121,V391,2024-10-01,Smartphone X,Telefonía,741722,1,741722,Isaura Agustín Cortés,Tarjeta de crédito,Buenos Aires</t>
  </si>
  <si>
    <t>1199,V392,2024-10-02,Laptop Pro,Computación,1844533,3,5533599,Lope Plaza Arenas,Efectivo,CABA</t>
  </si>
  <si>
    <t>2905,V393,2024-10-02,Auriculares Z,Accesorios,114971,2,229942,Adriana Carvajal,Efectivo,Neuquén</t>
  </si>
  <si>
    <t>1960,V394,2024-10-02,Smartphone X,Telefonía,741722,3,2225166,Jenaro Cerdá,Efectivo,San Luis</t>
  </si>
  <si>
    <t>1539,V395,2024-10-03,Smartwatch Y,Accesorios,177881,3,533643,Martin Borrell Reyes,Tarjeta de crédito,Corrientes</t>
  </si>
  <si>
    <t>5256,V396,2024-10-05,Smartphone X,Telefonía,741722,1,741722,Viviana Blasco Zabala,MercadoPago,Córdoba</t>
  </si>
  <si>
    <t>3198,V397,2024-10-05,Smartwatch Y,Accesorios,177881,1,177881,Albino Cerdán Hierro,Transferencia,Entre Ríos</t>
  </si>
  <si>
    <t>1803,V398,2024-10-06,Tablet S,Computación,707995,2,1415990,Manuelita Baena,Efectivo,Tucumán</t>
  </si>
  <si>
    <t>1710,V399,2024-10-08,Smartphone X,Telefonía,741722,1,741722,Joaquín Duran Salas,Efectivo,Buenos Aires</t>
  </si>
  <si>
    <t>5091,V400,2024-10-09,Tablet S,Computación,707995,3,2123985,Julie Marti Chamorro,MercadoPago,San Luis</t>
  </si>
  <si>
    <t>3363,V401,2024-10-09,Tablet S,Computación,707995,2,1415990,Maite de Recio,Efectivo,Tucumán</t>
  </si>
  <si>
    <t>1804,V402,2024-10-10,Smartwatch Y,Accesorios,177881,1,177881,Celia Cerdá Solsona,MercadoPago,Misiones</t>
  </si>
  <si>
    <t>6428,V403,2024-10-10,Laptop Pro,Computación,1844533,2,3689066,Luna Felicia Casas Gálvez,Tarjeta de crédito,San Luis</t>
  </si>
  <si>
    <t>3202,V404,2024-10-11,Smartwatch Y,Accesorios,177881,2,355762,César del Alberto,Tarjeta de crédito,Chubut</t>
  </si>
  <si>
    <t>5235,V405,2024-10-12,Tablet S,Computación,707995,2,1415990,Ángela Cobo Gras,Transferencia,Río Negro</t>
  </si>
  <si>
    <t>9293,V406,2024-10-13,Laptop Pro,Computación,1844533,3,5533599,Amada Rey Iborra,MercadoPago,Entre Ríos</t>
  </si>
  <si>
    <t>3799,V407,2024-10-14,Smartwatch Y,Accesorios,177881,2,355762,Cruz Bárcena Escobar,Efectivo,Mendoza</t>
  </si>
  <si>
    <t>7284,V408,2024-10-15,Auriculares Z,Accesorios,114971,3,344913,Ariel Cuervo Ibarra,Efectivo,Córdoba</t>
  </si>
  <si>
    <t>7502,V409,2024-10-15,Tablet S,Computación,707995,3,2123985,Nando Castelló Cal,MercadoPago,Misiones</t>
  </si>
  <si>
    <t>4261,V410,2024-10-15,Smartphone X,Telefonía,741722,1,741722,Manuel Narváez Valentín,Transferencia,Chubut</t>
  </si>
  <si>
    <t>1285,V411,2024-10-17,Laptop Pro,Computación,1844533,2,3689066,Joan José Antonio Isern Patiño,MercadoPago,Río Negro</t>
  </si>
  <si>
    <t>4388,V412,2024-10-18,Smartwatch Y,Accesorios,177881,1,177881,Carmen Albero-Ortuño,Efectivo,Córdoba</t>
  </si>
  <si>
    <t>4697,V413,2024-10-18,Tablet S,Computación,707995,1,707995,Jacobo Eric Redondo Cerdá,Transferencia,Neuquén</t>
  </si>
  <si>
    <t>9030,V414,2024-10-18,Tablet S,Computación,707995,2,1415990,Jose Carlos Portillo Diez,Tarjeta de crédito,Corrientes</t>
  </si>
  <si>
    <t>1518,V415,2024-10-18,Tablet S,Computación,707995,1,707995,Octavio Cabezas Coronado,Transferencia,Tucumán</t>
  </si>
  <si>
    <t>9752,V416,2024-10-19,Smartphone X,Telefonía,741722,3,2225166,Zaida del Company,Efectivo,Buenos Aires</t>
  </si>
  <si>
    <t>2800,V417,2024-10-19,Tablet S,Computación,707995,1,707995,Narciso Merino,Transferencia,CABA</t>
  </si>
  <si>
    <t>1574,V418,2024-10-19,Tablet S,Computación,707995,1,707995,Jimena Quiroga,Efectivo,Mendoza</t>
  </si>
  <si>
    <t>8414,V419,2024-10-20,Tablet S,Computación,707995,2,1415990,Eva Pedrosa Andrade,Transferencia,Mendoza</t>
  </si>
  <si>
    <t>1016,V420,2024-10-21,Laptop Pro,Computación,1844533,3,5533599,Anna de Villar,MercadoPago,Río Negro</t>
  </si>
  <si>
    <t>6782,V421,2024-10-22,Laptop Pro,Computación,1844533,3,5533599,Jose Antonio Mascaró Gallo,Transferencia,Salta</t>
  </si>
  <si>
    <t>7088,V422,2024-10-22,Smartphone X,Telefonía,741722,2,1483444,Sara Ledesma Ríos,MercadoPago,Córdoba</t>
  </si>
  <si>
    <t>1082,V423,2024-10-23,Auriculares Z,Accesorios,114971,1,114971,Piedad Andrade Plaza,MercadoPago,Chubut</t>
  </si>
  <si>
    <t>8469,V424,2024-10-23,Laptop Pro,Computación,1844533,2,3689066,Angelina Ballesteros Cases,Tarjeta de crédito,Misiones</t>
  </si>
  <si>
    <t>8765,V425,2024-10-24,Smartphone X,Telefonía,741722,2,1483444,Emilio Reina Sarabia,Tarjeta de crédito,Neuquén</t>
  </si>
  <si>
    <t>3093,V426,2024-10-25,Smartwatch Y,Accesorios,177881,3,533643,Amada Bernal Ávila,Transferencia,Misiones</t>
  </si>
  <si>
    <t>2323,V427,2024-10-25,Smartphone X,Telefonía,741722,2,1483444,Teófilo Vélez Otero,Tarjeta de crédito,Santa Fe</t>
  </si>
  <si>
    <t>8231,V428,2024-10-28,Laptop Pro,Computación,1844533,1,1844533,Teresa Hervás Vilaplana,Tarjeta de crédito,Neuquén</t>
  </si>
  <si>
    <t>7049,V429,2024-10-28,Smartwatch Y,Accesorios,177881,3,533643,Saturnino Jódar,Transferencia,San Luis</t>
  </si>
  <si>
    <t>6842,V430,2024-10-28,Smartphone X,Telefonía,741722,2,1483444,Valentina Armas Villalonga,Tarjeta de crédito,San Luis</t>
  </si>
  <si>
    <t>2236,V431,2024-10-30,Auriculares Z,Accesorios,114971,3,344913,Pacífica Roselló-Gibert,Transferencia,Salta</t>
  </si>
  <si>
    <t>5234,V432,2024-10-30,Smartphone X,Telefonía,741722,1,741722,Calixta Caparrós Casares,Tarjeta de crédito,Tucumán</t>
  </si>
  <si>
    <t>8293,V433,2024-10-30,Auriculares Z,Accesorios,114971,1,114971,Matías Busquets Cabañas,MercadoPago,Río Negro</t>
  </si>
  <si>
    <t>3481,V434,2024-10-30,Auriculares Z,Accesorios,114971,3,344913,Mireia Pardo Carrión,Transferencia,CABA</t>
  </si>
  <si>
    <t>4767,V435,2024-10-30,Smartphone X,Telefonía,741722,3,2225166,Susanita Rueda Cantero,Efectivo,Salta</t>
  </si>
  <si>
    <t>3825,V436,2024-10-31,Laptop Pro,Computación,1844533,2,3689066,Plácido Milla Yuste,Efectivo,Entre Ríos</t>
  </si>
  <si>
    <t>1373,V437,2024-10-31,Auriculares Z,Accesorios,114971,1,114971,Sebastian Osorio Pereira,MercadoPago,Tucumán</t>
  </si>
  <si>
    <t>5992,V438,2024-11-01,Laptop Pro,Computación,1844533,3,5533599,Ramiro Garcia Hurtado,Transferencia,Santa Fe</t>
  </si>
  <si>
    <t>3360,V439,2024-11-04,Smartwatch Y,Accesorios,177881,1,177881,Juan José Salvador,Tarjeta de crédito,Buenos Aires</t>
  </si>
  <si>
    <t>2759,V440,2024-11-07,Smartphone X,Telefonía,741722,2,1483444,Florinda Ribes Saavedra,Efectivo,Salta</t>
  </si>
  <si>
    <t>4305,V441,2024-11-09,Auriculares Z,Accesorios,114971,3,344913,Gerardo Palacio Cruz,Tarjeta de crédito,Santa Fe</t>
  </si>
  <si>
    <t>7341,V442,2024-11-10,Laptop Pro,Computación,1844533,3,5533599,Julieta Rojas Garcia,Transferencia,Corrientes</t>
  </si>
  <si>
    <t>3765,V443,2024-11-10,Tablet S,Computación,707995,2,1415990,Paula Puga Maza,Tarjeta de crédito,Chubut</t>
  </si>
  <si>
    <t>4930,V444,2024-11-10,Laptop Pro,Computación,1844533,1,1844533,Ximena Zabaleta Arellano,Transferencia,San Juan</t>
  </si>
  <si>
    <t>9362,V445,2024-11-10,Auriculares Z,Accesorios,114971,3,344913,Dionisio Luján Jove,MercadoPago,Chubut</t>
  </si>
  <si>
    <t>7105,V446,2024-11-11,Tablet S,Computación,707995,2,1415990,Alcides Gonzalo Marin,Tarjeta de crédito,San Juan</t>
  </si>
  <si>
    <t>9635,V447,2024-11-11,Smartwatch Y,Accesorios,177881,2,355762,Benigna Gárate Verdugo,MercadoPago,Río Negro</t>
  </si>
  <si>
    <t>5550,V448,2024-11-12,Smartwatch Y,Accesorios,177881,2,355762,Fermín Barragán Romeu,Efectivo,Santa Fe</t>
  </si>
  <si>
    <t>2341,V449,2024-11-13,Smartphone X,Telefonía,741722,2,1483444,Corona Sanjuan Alfaro,Efectivo,Misiones</t>
  </si>
  <si>
    <t>6659,V450,2024-11-13,Smartwatch Y,Accesorios,177881,1,177881,Julián Páez Peiró,MercadoPago,Corrientes</t>
  </si>
  <si>
    <t>4465,V451,2024-11-14,Laptop Pro,Computación,1844533,2,3689066,Sandalio Carro Bejarano,Transferencia,Río Negro</t>
  </si>
  <si>
    <t>4002,V452,2024-11-15,Auriculares Z,Accesorios,114971,1,114971,Rafaela Díaz Arjona,Transferencia,Buenos Aires</t>
  </si>
  <si>
    <t>3968,V453,2024-11-17,Smartphone X,Telefonía,741722,2,1483444,Rosenda Guillen-Pastor,MercadoPago,Entre Ríos</t>
  </si>
  <si>
    <t>3164,V454,2024-11-19,Smartphone X,Telefonía,741722,2,1483444,Porfirio Nicanor Enríquez Arnau,MercadoPago,San Luis</t>
  </si>
  <si>
    <t>3632,V455,2024-11-20,Smartphone X,Telefonía,741722,3,2225166,Patricia Vega-Villaverde,Efectivo,Neuquén</t>
  </si>
  <si>
    <t>7411,V456,2024-11-21,Tablet S,Computación,707995,2,1415990,Anabel Valverde Tomé,Transferencia,San Luis</t>
  </si>
  <si>
    <t>8153,V457,2024-11-21,Tablet S,Computación,707995,2,1415990,Ruy Cuenca Belda,Efectivo,Salta</t>
  </si>
  <si>
    <t>8053,V458,2024-11-22,Tablet S,Computación,707995,1,707995,Leocadia Laura Manzano Naranjo,MercadoPago,Tucumán</t>
  </si>
  <si>
    <t>4470,V459,2024-11-23,Tablet S,Computación,707995,3,2123985,Isabel Ordóñez,MercadoPago,Mendoza</t>
  </si>
  <si>
    <t>4967,V460,2024-11-23,Tablet S,Computación,707995,2,1415990,Gustavo Rocha Sevillano,MercadoPago,Corrientes</t>
  </si>
  <si>
    <t>7985,V461,2024-11-23,Laptop Pro,Computación,1844533,3,5533599,Morena de Ledesma,Transferencia,Entre Ríos</t>
  </si>
  <si>
    <t>5367,V462,2024-11-25,Tablet S,Computación,707995,3,2123985,Aitana Tovar Prada,Efectivo,Salta</t>
  </si>
  <si>
    <t>3152,V463,2024-11-26,Smartphone X,Telefonía,741722,2,1483444,Ismael Fernandez,Tarjeta de crédito,San Juan</t>
  </si>
  <si>
    <t>1948,V464,2024-11-27,Auriculares Z,Accesorios,114971,1,114971,Mayte Tena,Transferencia,Corrientes</t>
  </si>
  <si>
    <t>5947,V465,2024-11-28,Laptop Pro,Computación,1844533,2,3689066,Jordi Planas,MercadoPago,Santa Fe</t>
  </si>
  <si>
    <t>1812,V466,2024-11-28,Smartphone X,Telefonía,741722,1,741722,Vidal Ramiro Morera Ballester,Transferencia,Salta</t>
  </si>
  <si>
    <t>7426,V467,2024-11-28,Smartwatch Y,Accesorios,177881,3,533643,Yésica Ledesma Morera,Transferencia,CABA</t>
  </si>
  <si>
    <t>9385,V468,2024-11-29,Smartwatch Y,Accesorios,177881,3,533643,Nando del Fernandez,Tarjeta de crédito,Tucumán</t>
  </si>
  <si>
    <t>9670,V469,2024-11-30,Laptop Pro,Computación,1844533,2,3689066,Édgar Peláez Solana,Transferencia,Córdoba</t>
  </si>
  <si>
    <t>7210,V470,2024-11-30,Tablet S,Computación,707995,2,1415990,Angelita Viana Bolaños,Tarjeta de crédito,Santa Fe</t>
  </si>
  <si>
    <t>2929,V471,2024-11-30,Smartphone X,Telefonía,741722,1,741722,Adoración Cornejo,Efectivo,Córdoba</t>
  </si>
  <si>
    <t>7369,V472,2024-12-02,Tablet S,Computación,707995,2,1415990,Antonia Lobato,Transferencia,Río Negro</t>
  </si>
  <si>
    <t>2732,V473,2024-12-03,Laptop Pro,Computación,1844533,2,3689066,Fabiola Nicolau Ángel,Tarjeta de crédito,Salta</t>
  </si>
  <si>
    <t>9578,V474,2024-12-04,Laptop Pro,Computación,1844533,1,1844533,Nacho Sarabia-Gomez,Efectivo,Córdoba</t>
  </si>
  <si>
    <t>7658,V475,2024-12-05,Smartphone X,Telefonía,741722,3,2225166,Adelardo Martínez-Nieto,Transferencia,Entre Ríos</t>
  </si>
  <si>
    <t>9482,V476,2024-12-05,Smartphone X,Telefonía,741722,1,741722,Dafne Hervia Gilabert,Transferencia,Entre Ríos</t>
  </si>
  <si>
    <t>4256,V477,2024-12-06,Tablet S,Computación,707995,2,1415990,Serafina de Torrens,Transferencia,Córdoba</t>
  </si>
  <si>
    <t>3580,V478,2024-12-08,Laptop Pro,Computación,1844533,3,5533599,Begoña Real Porta,Transferencia,Entre Ríos</t>
  </si>
  <si>
    <t>5371,V479,2024-12-08,Auriculares Z,Accesorios,114971,1,114971,Lupe Canales Acero,MercadoPago,Corrientes</t>
  </si>
  <si>
    <t>1407,V480,2024-12-09,Smartphone X,Telefonía,741722,3,2225166,Octavia Romeu Báez,Tarjeta de crédito,San Luis</t>
  </si>
  <si>
    <t>8252,V481,2024-12-10,Smartwatch Y,Accesorios,177881,3,533643,Carlota Carro Riba,Transferencia,Mendoza</t>
  </si>
  <si>
    <t>5295,V482,2024-12-10,Smartphone X,Telefonía,741722,1,741722,Inmaculada Fabregat Boada,Tarjeta de crédito,Neuquén</t>
  </si>
  <si>
    <t>6490,V483,2024-12-11,Smartwatch Y,Accesorios,177881,1,177881,María Dolores Requena Tomé,Tarjeta de crédito,Buenos Aires</t>
  </si>
  <si>
    <t>2702,V484,2024-12-13,Laptop Pro,Computación,1844533,1,1844533,Emelina Guardiola Serrano,MercadoPago,CABA</t>
  </si>
  <si>
    <t>3460,V485,2024-12-14,Smartphone X,Telefonía,741722,3,2225166,Isaura Gallardo Guerra,Tarjeta de crédito,Buenos Aires</t>
  </si>
  <si>
    <t>6423,V486,2024-12-18,Tablet S,Computación,707995,1,707995,Lupe Llamas-Hervia,MercadoPago,Buenos Aires</t>
  </si>
  <si>
    <t>8416,V487,2024-12-18,Tablet S,Computación,707995,2,1415990,Carlito Aramburu Gómez,Tarjeta de crédito,San Juan</t>
  </si>
  <si>
    <t>2012,V488,2024-12-21,Tablet S,Computación,707995,2,1415990,Paloma Manjón Nogués,Transferencia,Tucumán</t>
  </si>
  <si>
    <t>2074,V489,2024-12-21,Smartwatch Y,Accesorios,177881,3,533643,Ofelia Revilla Armengol,MercadoPago,San Juan</t>
  </si>
  <si>
    <t>9897,V490,2024-12-21,Laptop Pro,Computación,1844533,3,5533599,Fabiana Torrecilla Conesa,Transferencia,Buenos Aires</t>
  </si>
  <si>
    <t>9977,V491,2024-12-22,Smartwatch Y,Accesorios,177881,1,177881,Cosme Vergara,MercadoPago,San Luis</t>
  </si>
  <si>
    <t>6348,V492,2024-12-22,Tablet S,Computación,707995,3,2123985,Candelario Jimenez-Oliver,Efectivo,Entre Ríos</t>
  </si>
  <si>
    <t>1609,V493,2024-12-23,Smartphone X,Telefonía,741722,1,741722,Martín Puerta,Transferencia,Santa Fe</t>
  </si>
  <si>
    <t>3091,V494,2024-12-26,Auriculares Z,Accesorios,114971,2,229942,Carmelita Eligia Giralt Gordillo,Transferencia,Entre Ríos</t>
  </si>
  <si>
    <t>5708,V495,2024-12-26,Smartphone X,Telefonía,741722,1,741722,Marisol Garriga Cisneros,Efectivo,Río Negro</t>
  </si>
  <si>
    <t>5800,V496,2024-12-27,Smartphone X,Telefonía,741722,1,741722,Rufino Pagès,Efectivo,Mendoza</t>
  </si>
  <si>
    <t>9955,V497,2024-12-28,Smartphone X,Telefonía,741722,1,741722,Régulo Tolosa,Tarjeta de crédito,Tucumán</t>
  </si>
  <si>
    <t>4437,V498,2024-12-29,Laptop Pro,Computación,1844533,1,1844533,Felicia Zaida Matas Albero,Transferencia,Corrientes</t>
  </si>
  <si>
    <t>4481,V499,2024-12-30,Smartwatch Y,Accesorios,177881,2,355762,Angélica Mayte Jimenez Campos,MercadoPago,Córdoba</t>
  </si>
  <si>
    <t>5010,V500,2024-12-31,Auriculares Z,Accesorios,114971,1,114971,Mauricio Leandro Peláez Carballo,Transferencia,Río Negro</t>
  </si>
  <si>
    <t>Coloqué validación numérica decimal para la columna Precio_unitario y le di formato contabilidad en ARS con máximo 2 decimales</t>
  </si>
  <si>
    <t>Mercado Pago</t>
  </si>
  <si>
    <t>Buscar y reemplazar</t>
  </si>
  <si>
    <t>Validaciones en hoja aparte</t>
  </si>
  <si>
    <t>A la columna Método_pago busqué y reemplace el escrito "MercadoPago" por "Mercado Pago"</t>
  </si>
  <si>
    <t>Borre duplicados de la columna Producto corroborando que solo sean 5 productos y les aplique la validación por lista.</t>
  </si>
  <si>
    <t>Realice el mismo proceso con la columna Categoría.</t>
  </si>
  <si>
    <t>Realicé el mismo proceso con la columna Ubicación.</t>
  </si>
  <si>
    <t>Realicé el mismo proceso con la columna Método_de_pago.</t>
  </si>
  <si>
    <t>Unidades vendidas</t>
  </si>
  <si>
    <t>Función</t>
  </si>
  <si>
    <t>Sumar.Si.Conjunto</t>
  </si>
  <si>
    <t>Visual</t>
  </si>
  <si>
    <t>Contar.Si.Conjunto</t>
  </si>
  <si>
    <t>Cantidad de ventas</t>
  </si>
  <si>
    <t>Unidades totales vendidas</t>
  </si>
  <si>
    <t xml:space="preserve">Promedio </t>
  </si>
  <si>
    <t>Suma - Contar - Promedio</t>
  </si>
  <si>
    <t>KPI</t>
  </si>
  <si>
    <t>Ventas únicas</t>
  </si>
  <si>
    <t>Cantidad de usos</t>
  </si>
  <si>
    <t>6) Se pide el ID_Cliente de Candela Calvo Coronado</t>
  </si>
  <si>
    <t>BuscarX</t>
  </si>
  <si>
    <t>Total general</t>
  </si>
  <si>
    <t>jun</t>
  </si>
  <si>
    <t>Venta por mes</t>
  </si>
  <si>
    <t>Clientes</t>
  </si>
  <si>
    <t>ene</t>
  </si>
  <si>
    <t>feb</t>
  </si>
  <si>
    <t>mar</t>
  </si>
  <si>
    <t>abr</t>
  </si>
  <si>
    <t>may</t>
  </si>
  <si>
    <t>jul</t>
  </si>
  <si>
    <t>ago</t>
  </si>
  <si>
    <t>sept</t>
  </si>
  <si>
    <t>oct</t>
  </si>
  <si>
    <t>nov</t>
  </si>
  <si>
    <t>dic</t>
  </si>
  <si>
    <t>Veremos la construcción de un dashboard de tipo exploratorio donde se analizará el comportamiento de las ventas para el 2024 en la web "Comprasporinternet.com"</t>
  </si>
  <si>
    <t>Gráfico de torta</t>
  </si>
  <si>
    <t>3) ¿En qué provincias se desarrolló la mayor cantidad de ventas?</t>
  </si>
  <si>
    <t>2) ¿Cuál es el promedio de unidades vendidas por venta?</t>
  </si>
  <si>
    <t>ID</t>
  </si>
  <si>
    <t>4) ¿Qué producto generó la mayor cantidad de ventas?</t>
  </si>
  <si>
    <t>Total ventas</t>
  </si>
  <si>
    <t xml:space="preserve">Grafico de columnas agrupadas </t>
  </si>
  <si>
    <t>No se hallaron valores duplicados en las columnas ID_cliente e ID_venta. Corroboré que no hay fidelización de clientes (no compraron +1 vez) y corroboré que el ID de venta sea unico. (Borre esa hoja aux)</t>
  </si>
  <si>
    <t>Formato condicional</t>
  </si>
  <si>
    <t>Apliqúe formato condicional a la columna Total_Venta para aquellas que sean &gt;= a 1 millón</t>
  </si>
  <si>
    <t>Desarrollo</t>
  </si>
  <si>
    <t>Método_pago_2</t>
  </si>
  <si>
    <t>7) ¿Cuál es la categoría de pago más utilizada?</t>
  </si>
  <si>
    <t>Electrónico</t>
  </si>
  <si>
    <t>Funcion anidada</t>
  </si>
  <si>
    <t>Best seller</t>
  </si>
  <si>
    <t>Contar.SI</t>
  </si>
  <si>
    <t>Nuevas columnas</t>
  </si>
  <si>
    <t>Agregué dos nuevas columnas con funcion SI y funcion SI anidada Y</t>
  </si>
  <si>
    <t>Venta por producto</t>
  </si>
  <si>
    <t>Venta por ubicación</t>
  </si>
  <si>
    <t>MercadoPago</t>
  </si>
  <si>
    <t>Ingreso</t>
  </si>
  <si>
    <t>Promedio ventas</t>
  </si>
  <si>
    <t>Venta por categoria</t>
  </si>
  <si>
    <t>Gráficos</t>
  </si>
  <si>
    <t>Métricas</t>
  </si>
  <si>
    <t>1) ¿Quién es su audiencia?
              El dashboard será dirigido hacia el CEO de la empresa.
2) ¿Cuáles son los objetivos y metas del negocio?
              Consolidar clientes y proyectar un incremento de ventas año tras año.
3) ¿Cuáles son las preguntas específicas que necesitan respuesta?
             ¿Cuál el período donde se registran la mayor cantidad de ventas?, ¿Qué provincia generó
             la mayor cantidad de demanda?, ¿Qué producto fue el más vendido? ¿Cuál fue el ingreso
             anual de la web?</t>
  </si>
  <si>
    <t xml:space="preserve">Gráfico de columnas agrupadas </t>
  </si>
  <si>
    <t>N/A</t>
  </si>
  <si>
    <t/>
  </si>
  <si>
    <t>Mes</t>
  </si>
  <si>
    <t>Cantidad</t>
  </si>
  <si>
    <t>Total</t>
  </si>
  <si>
    <r>
      <rPr>
        <b/>
        <sz val="12"/>
        <color theme="1"/>
        <rFont val="Gill Sans MT"/>
        <family val="2"/>
        <scheme val="minor"/>
      </rPr>
      <t>Título</t>
    </r>
    <r>
      <rPr>
        <sz val="12"/>
        <color theme="1"/>
        <rFont val="Gill Sans MT"/>
        <family val="2"/>
        <scheme val="minor"/>
      </rPr>
      <t>: Descubriendo el comportamiento de las ventas en la web  Comprasporinternet.com</t>
    </r>
  </si>
  <si>
    <t>1) ¿Cuál es la categoría con mayor cantidad de unidades vendidas? Y la menor?</t>
  </si>
  <si>
    <t>8) ¿Cuántas "Best seller" se concretaron en 2024?</t>
  </si>
  <si>
    <r>
      <rPr>
        <b/>
        <sz val="12"/>
        <color theme="1"/>
        <rFont val="Gill Sans MT"/>
        <family val="2"/>
        <scheme val="minor"/>
      </rPr>
      <t>Introducción</t>
    </r>
    <r>
      <rPr>
        <sz val="12"/>
        <color theme="1"/>
        <rFont val="Gill Sans MT"/>
        <family val="2"/>
        <scheme val="minor"/>
      </rPr>
      <t>: Se le pidió un prompt de 500 filas y 11 columnas al ChatGPT para que me brinde datos ficticios sobre la venta de 5 productos específicos en una web ficticia que denominé Comprasporinternet.com. Se busca determinar el desempeño de la web durante el año 2024.</t>
    </r>
  </si>
  <si>
    <t xml:space="preserve">Desarrollar un dashboard analítico de las ventas que se realizaron en la web que permitirá:                                                                                                                                                                            </t>
  </si>
  <si>
    <t>Determinar a que provincia se le atribuyen la mayor cantidad de ventas.                                                                Determinar que producto fue el más elegido por los usuarios.
Durante que mes se registró el mayor volumen de ventas.
Analizar los resultados mensuales.
Determinar el rendimiento de la web.</t>
  </si>
  <si>
    <t>1) Identificar los productos con mayor y menor número de unidades vendidas.
2) Identificar la categoría con los ingresos totales más altos y más bajos.
3) Visualizar que provincias registraron mayor y menor cantidad de ventas.
4) Realizar un análisis anual de ventas.
5) Comprender el comportamiento del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</si>
</sst>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 #,##0.00_-;\-&quot;$&quot;\ * #,##0.00_-;_-&quot;$&quot;\ * &quot;-&quot;??_-;_-@_-"/>
    <numFmt numFmtId="164" formatCode="_-[$$-2C0A]\ * #,##0.00_-;\-[$$-2C0A]\ * #,##0.00_-;_-[$$-2C0A]\ * &quot;-&quot;??_-;_-@_-"/>
    <numFmt numFmtId="165" formatCode="&quot;$&quot;\ #,##0"/>
  </numFmts>
  <fonts count="27" x14ac:knownFonts="1">
    <font>
      <sz val="11"/>
      <color theme="1"/>
      <name val="Gill Sans MT"/>
      <family val="2"/>
      <scheme val="minor"/>
    </font>
    <font>
      <sz val="11"/>
      <color theme="1"/>
      <name val="Gill Sans MT"/>
      <family val="2"/>
      <scheme val="minor"/>
    </font>
    <font>
      <sz val="18"/>
      <color theme="3"/>
      <name val="Impact"/>
      <family val="2"/>
      <scheme val="major"/>
    </font>
    <font>
      <b/>
      <sz val="15"/>
      <color theme="3"/>
      <name val="Gill Sans MT"/>
      <family val="2"/>
      <scheme val="minor"/>
    </font>
    <font>
      <b/>
      <sz val="13"/>
      <color theme="3"/>
      <name val="Gill Sans MT"/>
      <family val="2"/>
      <scheme val="minor"/>
    </font>
    <font>
      <b/>
      <sz val="11"/>
      <color theme="3"/>
      <name val="Gill Sans MT"/>
      <family val="2"/>
      <scheme val="minor"/>
    </font>
    <font>
      <sz val="11"/>
      <color rgb="FF006100"/>
      <name val="Gill Sans MT"/>
      <family val="2"/>
      <scheme val="minor"/>
    </font>
    <font>
      <sz val="11"/>
      <color rgb="FF9C0006"/>
      <name val="Gill Sans MT"/>
      <family val="2"/>
      <scheme val="minor"/>
    </font>
    <font>
      <sz val="11"/>
      <color rgb="FF9C5700"/>
      <name val="Gill Sans MT"/>
      <family val="2"/>
      <scheme val="minor"/>
    </font>
    <font>
      <sz val="11"/>
      <color rgb="FF3F3F76"/>
      <name val="Gill Sans MT"/>
      <family val="2"/>
      <scheme val="minor"/>
    </font>
    <font>
      <b/>
      <sz val="11"/>
      <color rgb="FF3F3F3F"/>
      <name val="Gill Sans MT"/>
      <family val="2"/>
      <scheme val="minor"/>
    </font>
    <font>
      <b/>
      <sz val="11"/>
      <color rgb="FFFA7D00"/>
      <name val="Gill Sans MT"/>
      <family val="2"/>
      <scheme val="minor"/>
    </font>
    <font>
      <sz val="11"/>
      <color rgb="FFFA7D00"/>
      <name val="Gill Sans MT"/>
      <family val="2"/>
      <scheme val="minor"/>
    </font>
    <font>
      <b/>
      <sz val="11"/>
      <color theme="0"/>
      <name val="Gill Sans MT"/>
      <family val="2"/>
      <scheme val="minor"/>
    </font>
    <font>
      <sz val="11"/>
      <color rgb="FFFF0000"/>
      <name val="Gill Sans MT"/>
      <family val="2"/>
      <scheme val="minor"/>
    </font>
    <font>
      <i/>
      <sz val="11"/>
      <color rgb="FF7F7F7F"/>
      <name val="Gill Sans MT"/>
      <family val="2"/>
      <scheme val="minor"/>
    </font>
    <font>
      <b/>
      <sz val="11"/>
      <color theme="1"/>
      <name val="Gill Sans MT"/>
      <family val="2"/>
      <scheme val="minor"/>
    </font>
    <font>
      <sz val="11"/>
      <color theme="0"/>
      <name val="Gill Sans MT"/>
      <family val="2"/>
      <scheme val="minor"/>
    </font>
    <font>
      <b/>
      <sz val="20"/>
      <color theme="1"/>
      <name val="Gill Sans MT"/>
      <family val="2"/>
      <scheme val="minor"/>
    </font>
    <font>
      <sz val="11"/>
      <color rgb="FFC00000"/>
      <name val="Gill Sans MT"/>
      <family val="2"/>
      <scheme val="minor"/>
    </font>
    <font>
      <sz val="11"/>
      <color rgb="FF000000"/>
      <name val="Gill Sans MT"/>
      <family val="2"/>
      <scheme val="minor"/>
    </font>
    <font>
      <sz val="8"/>
      <name val="Gill Sans MT"/>
      <family val="2"/>
      <scheme val="minor"/>
    </font>
    <font>
      <b/>
      <i/>
      <sz val="28"/>
      <color theme="0"/>
      <name val="Gill Sans MT"/>
      <family val="2"/>
      <scheme val="minor"/>
    </font>
    <font>
      <b/>
      <sz val="14"/>
      <color theme="1"/>
      <name val="Gill Sans MT"/>
      <family val="2"/>
      <scheme val="minor"/>
    </font>
    <font>
      <sz val="12"/>
      <color theme="1"/>
      <name val="Gill Sans MT"/>
      <family val="2"/>
      <scheme val="minor"/>
    </font>
    <font>
      <b/>
      <sz val="12"/>
      <color theme="1"/>
      <name val="Gill Sans MT"/>
      <family val="2"/>
      <scheme val="minor"/>
    </font>
    <font>
      <sz val="12"/>
      <color rgb="FF000000"/>
      <name val="Gill Sans MT"/>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theme="1" tint="4.9989318521683403E-2"/>
        <bgColor indexed="64"/>
      </patternFill>
    </fill>
    <fill>
      <patternFill patternType="solid">
        <fgColor theme="2" tint="-0.89999084444715716"/>
        <bgColor indexed="64"/>
      </patternFill>
    </fill>
    <fill>
      <patternFill patternType="solid">
        <fgColor theme="5"/>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top/>
      <bottom/>
      <diagonal/>
    </border>
    <border>
      <left/>
      <right style="thin">
        <color indexed="64"/>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83">
    <xf numFmtId="0" fontId="0" fillId="0" borderId="0" xfId="0"/>
    <xf numFmtId="14" fontId="0" fillId="0" borderId="0" xfId="0" applyNumberFormat="1"/>
    <xf numFmtId="0" fontId="13" fillId="33" borderId="10" xfId="0" applyFont="1" applyFill="1" applyBorder="1"/>
    <xf numFmtId="0" fontId="13" fillId="33" borderId="11" xfId="0" applyFont="1" applyFill="1" applyBorder="1"/>
    <xf numFmtId="0" fontId="19" fillId="0" borderId="0" xfId="0" applyFont="1"/>
    <xf numFmtId="0" fontId="16" fillId="0" borderId="0" xfId="0" applyFont="1"/>
    <xf numFmtId="164" fontId="0" fillId="0" borderId="0" xfId="0" applyNumberFormat="1"/>
    <xf numFmtId="0" fontId="0" fillId="0" borderId="12" xfId="0" applyBorder="1"/>
    <xf numFmtId="0" fontId="0" fillId="0" borderId="14" xfId="0" applyBorder="1"/>
    <xf numFmtId="0" fontId="0" fillId="0" borderId="13" xfId="0" applyBorder="1"/>
    <xf numFmtId="2" fontId="0" fillId="0" borderId="14" xfId="0" applyNumberFormat="1" applyBorder="1"/>
    <xf numFmtId="0" fontId="0" fillId="0" borderId="0" xfId="0" pivotButton="1"/>
    <xf numFmtId="0" fontId="0" fillId="0" borderId="0" xfId="0" applyAlignment="1">
      <alignment horizontal="left"/>
    </xf>
    <xf numFmtId="2" fontId="0" fillId="0" borderId="0" xfId="0" applyNumberFormat="1"/>
    <xf numFmtId="1" fontId="0" fillId="0" borderId="14" xfId="42" applyNumberFormat="1" applyFont="1" applyBorder="1"/>
    <xf numFmtId="1" fontId="0" fillId="0" borderId="12" xfId="42" applyNumberFormat="1" applyFont="1" applyBorder="1"/>
    <xf numFmtId="0" fontId="0" fillId="0" borderId="10" xfId="0" applyBorder="1"/>
    <xf numFmtId="0" fontId="0" fillId="34" borderId="0" xfId="0" applyFill="1"/>
    <xf numFmtId="0" fontId="0" fillId="35" borderId="0" xfId="0" applyFill="1"/>
    <xf numFmtId="0" fontId="22" fillId="35" borderId="0" xfId="0" applyFont="1" applyFill="1"/>
    <xf numFmtId="3" fontId="0" fillId="0" borderId="0" xfId="0" applyNumberFormat="1"/>
    <xf numFmtId="165" fontId="0" fillId="0" borderId="0" xfId="0" applyNumberFormat="1"/>
    <xf numFmtId="0" fontId="0" fillId="36" borderId="0" xfId="0" applyFill="1"/>
    <xf numFmtId="0" fontId="18" fillId="36" borderId="15" xfId="0" applyFont="1" applyFill="1" applyBorder="1" applyAlignment="1">
      <alignment horizontal="left" vertical="center"/>
    </xf>
    <xf numFmtId="0" fontId="0" fillId="36" borderId="16" xfId="0" applyFill="1" applyBorder="1"/>
    <xf numFmtId="0" fontId="0" fillId="36" borderId="17" xfId="0" applyFill="1" applyBorder="1"/>
    <xf numFmtId="0" fontId="0" fillId="36" borderId="0" xfId="0" applyFill="1" applyAlignment="1">
      <alignment vertical="center" wrapText="1"/>
    </xf>
    <xf numFmtId="0" fontId="16" fillId="0" borderId="21" xfId="0" applyFont="1" applyBorder="1"/>
    <xf numFmtId="0" fontId="0" fillId="0" borderId="21" xfId="0" applyBorder="1"/>
    <xf numFmtId="0" fontId="0" fillId="36" borderId="21" xfId="0" applyFill="1" applyBorder="1"/>
    <xf numFmtId="0" fontId="16" fillId="36" borderId="0" xfId="0" applyFont="1" applyFill="1"/>
    <xf numFmtId="0" fontId="23" fillId="0" borderId="0" xfId="0" applyFont="1"/>
    <xf numFmtId="0" fontId="24" fillId="36" borderId="0" xfId="0" applyFont="1" applyFill="1" applyAlignment="1">
      <alignment vertical="top" wrapText="1"/>
    </xf>
    <xf numFmtId="0" fontId="20" fillId="36" borderId="0" xfId="0" applyFont="1" applyFill="1" applyAlignment="1">
      <alignment vertical="center" wrapText="1"/>
    </xf>
    <xf numFmtId="0" fontId="24" fillId="36" borderId="0" xfId="0" applyFont="1" applyFill="1" applyAlignment="1">
      <alignment vertical="center" wrapText="1"/>
    </xf>
    <xf numFmtId="0" fontId="24" fillId="36" borderId="18" xfId="0" applyFont="1" applyFill="1" applyBorder="1" applyAlignment="1">
      <alignment horizontal="left" vertical="center" wrapText="1"/>
    </xf>
    <xf numFmtId="0" fontId="24" fillId="36" borderId="19" xfId="0" applyFont="1" applyFill="1" applyBorder="1" applyAlignment="1">
      <alignment horizontal="left" vertical="center" wrapText="1"/>
    </xf>
    <xf numFmtId="0" fontId="24" fillId="36" borderId="20" xfId="0" applyFont="1" applyFill="1" applyBorder="1" applyAlignment="1">
      <alignment horizontal="left" vertical="center" wrapText="1"/>
    </xf>
    <xf numFmtId="0" fontId="24" fillId="36" borderId="21" xfId="0" applyFont="1" applyFill="1" applyBorder="1" applyAlignment="1">
      <alignment horizontal="left" vertical="center" wrapText="1"/>
    </xf>
    <xf numFmtId="0" fontId="24" fillId="36" borderId="0" xfId="0" applyFont="1" applyFill="1" applyAlignment="1">
      <alignment horizontal="left" vertical="center" wrapText="1"/>
    </xf>
    <xf numFmtId="0" fontId="24" fillId="36" borderId="22" xfId="0" applyFont="1" applyFill="1" applyBorder="1" applyAlignment="1">
      <alignment horizontal="left" vertical="center" wrapText="1"/>
    </xf>
    <xf numFmtId="0" fontId="25" fillId="36" borderId="15" xfId="0" applyFont="1" applyFill="1" applyBorder="1" applyAlignment="1">
      <alignment horizontal="left" vertical="center"/>
    </xf>
    <xf numFmtId="0" fontId="25" fillId="36" borderId="16" xfId="0" applyFont="1" applyFill="1" applyBorder="1" applyAlignment="1">
      <alignment horizontal="left" vertical="center"/>
    </xf>
    <xf numFmtId="0" fontId="25" fillId="36" borderId="17" xfId="0" applyFont="1" applyFill="1" applyBorder="1" applyAlignment="1">
      <alignment horizontal="left" vertical="center"/>
    </xf>
    <xf numFmtId="0" fontId="25" fillId="36" borderId="18" xfId="0" applyFont="1" applyFill="1" applyBorder="1" applyAlignment="1">
      <alignment horizontal="left" vertical="center"/>
    </xf>
    <xf numFmtId="0" fontId="25" fillId="36" borderId="19" xfId="0" applyFont="1" applyFill="1" applyBorder="1" applyAlignment="1">
      <alignment horizontal="left" vertical="center"/>
    </xf>
    <xf numFmtId="0" fontId="25" fillId="36" borderId="20" xfId="0" applyFont="1" applyFill="1" applyBorder="1" applyAlignment="1">
      <alignment horizontal="left" vertical="center"/>
    </xf>
    <xf numFmtId="0" fontId="26" fillId="36" borderId="15" xfId="0" applyFont="1" applyFill="1" applyBorder="1" applyAlignment="1">
      <alignment vertical="center" wrapText="1"/>
    </xf>
    <xf numFmtId="0" fontId="26" fillId="36" borderId="16" xfId="0" applyFont="1" applyFill="1" applyBorder="1" applyAlignment="1">
      <alignment vertical="center" wrapText="1"/>
    </xf>
    <xf numFmtId="0" fontId="26" fillId="36" borderId="17" xfId="0" applyFont="1" applyFill="1" applyBorder="1" applyAlignment="1">
      <alignment vertical="center" wrapText="1"/>
    </xf>
    <xf numFmtId="0" fontId="26" fillId="36" borderId="21" xfId="0" applyFont="1" applyFill="1" applyBorder="1" applyAlignment="1">
      <alignment vertical="center" wrapText="1"/>
    </xf>
    <xf numFmtId="0" fontId="26" fillId="36" borderId="0" xfId="0" applyFont="1" applyFill="1" applyAlignment="1">
      <alignment vertical="center" wrapText="1"/>
    </xf>
    <xf numFmtId="0" fontId="26" fillId="36" borderId="22" xfId="0" applyFont="1" applyFill="1" applyBorder="1" applyAlignment="1">
      <alignment vertical="center" wrapText="1"/>
    </xf>
    <xf numFmtId="0" fontId="26" fillId="36" borderId="18" xfId="0" applyFont="1" applyFill="1" applyBorder="1" applyAlignment="1">
      <alignment vertical="center" wrapText="1"/>
    </xf>
    <xf numFmtId="0" fontId="26" fillId="36" borderId="19" xfId="0" applyFont="1" applyFill="1" applyBorder="1" applyAlignment="1">
      <alignment vertical="center" wrapText="1"/>
    </xf>
    <xf numFmtId="0" fontId="26" fillId="36" borderId="20" xfId="0" applyFont="1" applyFill="1" applyBorder="1" applyAlignment="1">
      <alignment vertical="center" wrapText="1"/>
    </xf>
    <xf numFmtId="0" fontId="25" fillId="36" borderId="12" xfId="0" applyFont="1" applyFill="1" applyBorder="1" applyAlignment="1">
      <alignment vertical="center"/>
    </xf>
    <xf numFmtId="0" fontId="25" fillId="36" borderId="15" xfId="0" applyFont="1" applyFill="1" applyBorder="1" applyAlignment="1">
      <alignment vertical="center"/>
    </xf>
    <xf numFmtId="0" fontId="25" fillId="36" borderId="16" xfId="0" applyFont="1" applyFill="1" applyBorder="1" applyAlignment="1">
      <alignment vertical="center"/>
    </xf>
    <xf numFmtId="0" fontId="25" fillId="36" borderId="17" xfId="0" applyFont="1" applyFill="1" applyBorder="1" applyAlignment="1">
      <alignment vertical="center"/>
    </xf>
    <xf numFmtId="0" fontId="25" fillId="36" borderId="21" xfId="0" applyFont="1" applyFill="1" applyBorder="1" applyAlignment="1">
      <alignment vertical="center"/>
    </xf>
    <xf numFmtId="0" fontId="25" fillId="36" borderId="0" xfId="0" applyFont="1" applyFill="1" applyAlignment="1">
      <alignment vertical="center"/>
    </xf>
    <xf numFmtId="0" fontId="25" fillId="36" borderId="22" xfId="0" applyFont="1" applyFill="1" applyBorder="1" applyAlignment="1">
      <alignment vertical="center"/>
    </xf>
    <xf numFmtId="0" fontId="25" fillId="36" borderId="18" xfId="0" applyFont="1" applyFill="1" applyBorder="1" applyAlignment="1">
      <alignment vertical="center"/>
    </xf>
    <xf numFmtId="0" fontId="25" fillId="36" borderId="19" xfId="0" applyFont="1" applyFill="1" applyBorder="1" applyAlignment="1">
      <alignment vertical="center"/>
    </xf>
    <xf numFmtId="0" fontId="25" fillId="36" borderId="20" xfId="0" applyFont="1" applyFill="1" applyBorder="1" applyAlignment="1">
      <alignment vertical="center"/>
    </xf>
    <xf numFmtId="0" fontId="24" fillId="36" borderId="15" xfId="0" applyFont="1" applyFill="1" applyBorder="1" applyAlignment="1">
      <alignment vertical="center" wrapText="1"/>
    </xf>
    <xf numFmtId="0" fontId="24" fillId="36" borderId="16" xfId="0" applyFont="1" applyFill="1" applyBorder="1" applyAlignment="1">
      <alignment vertical="center" wrapText="1"/>
    </xf>
    <xf numFmtId="0" fontId="24" fillId="36" borderId="17" xfId="0" applyFont="1" applyFill="1" applyBorder="1" applyAlignment="1">
      <alignment vertical="center" wrapText="1"/>
    </xf>
    <xf numFmtId="0" fontId="24" fillId="36" borderId="18" xfId="0" applyFont="1" applyFill="1" applyBorder="1" applyAlignment="1">
      <alignment vertical="center" wrapText="1"/>
    </xf>
    <xf numFmtId="0" fontId="24" fillId="36" borderId="19" xfId="0" applyFont="1" applyFill="1" applyBorder="1" applyAlignment="1">
      <alignment vertical="center" wrapText="1"/>
    </xf>
    <xf numFmtId="0" fontId="24" fillId="36" borderId="20" xfId="0" applyFont="1" applyFill="1" applyBorder="1" applyAlignment="1">
      <alignment vertical="center" wrapText="1"/>
    </xf>
    <xf numFmtId="0" fontId="24" fillId="36" borderId="21" xfId="0" applyFont="1" applyFill="1" applyBorder="1" applyAlignment="1">
      <alignment vertical="center" wrapText="1"/>
    </xf>
    <xf numFmtId="0" fontId="24" fillId="36" borderId="0" xfId="0" applyFont="1" applyFill="1" applyAlignment="1">
      <alignment vertical="center" wrapText="1"/>
    </xf>
    <xf numFmtId="0" fontId="24" fillId="36" borderId="22" xfId="0" applyFont="1" applyFill="1" applyBorder="1" applyAlignment="1">
      <alignment vertical="center" wrapText="1"/>
    </xf>
    <xf numFmtId="0" fontId="24" fillId="36" borderId="21" xfId="0" applyFont="1" applyFill="1" applyBorder="1" applyAlignment="1">
      <alignment horizontal="left" vertical="top" wrapText="1" indent="1"/>
    </xf>
    <xf numFmtId="0" fontId="24" fillId="36" borderId="0" xfId="0" applyFont="1" applyFill="1" applyAlignment="1">
      <alignment horizontal="left" vertical="top" wrapText="1" indent="1"/>
    </xf>
    <xf numFmtId="0" fontId="24" fillId="36" borderId="22" xfId="0" applyFont="1" applyFill="1" applyBorder="1" applyAlignment="1">
      <alignment horizontal="left" vertical="top" wrapText="1" indent="1"/>
    </xf>
    <xf numFmtId="0" fontId="24" fillId="36" borderId="18" xfId="0" applyFont="1" applyFill="1" applyBorder="1" applyAlignment="1">
      <alignment horizontal="left" vertical="top" wrapText="1" indent="1"/>
    </xf>
    <xf numFmtId="0" fontId="24" fillId="36" borderId="19" xfId="0" applyFont="1" applyFill="1" applyBorder="1" applyAlignment="1">
      <alignment horizontal="left" vertical="top" wrapText="1" indent="1"/>
    </xf>
    <xf numFmtId="0" fontId="24" fillId="36" borderId="20" xfId="0" applyFont="1" applyFill="1" applyBorder="1" applyAlignment="1">
      <alignment horizontal="left" vertical="top" wrapText="1" indent="1"/>
    </xf>
    <xf numFmtId="0" fontId="23" fillId="0" borderId="12" xfId="0" applyFont="1" applyBorder="1" applyAlignment="1">
      <alignment horizontal="center"/>
    </xf>
    <xf numFmtId="0" fontId="22" fillId="35" borderId="0" xfId="0" applyFont="1" applyFill="1" applyAlignment="1">
      <alignment horizontal="left" indent="52"/>
    </xf>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Moneda" xfId="42" builtinId="4"/>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0">
    <dxf>
      <numFmt numFmtId="3" formatCode="#,##0"/>
    </dxf>
    <dxf>
      <numFmt numFmtId="0" formatCode="General"/>
    </dxf>
    <dxf>
      <numFmt numFmtId="0" formatCode="General"/>
    </dxf>
    <dxf>
      <numFmt numFmtId="0" formatCode="General"/>
    </dxf>
    <dxf>
      <numFmt numFmtId="0" formatCode="General"/>
    </dxf>
    <dxf>
      <numFmt numFmtId="0" formatCode="General"/>
    </dxf>
    <dxf>
      <numFmt numFmtId="164" formatCode="_-[$$-2C0A]\ * #,##0.00_-;\-[$$-2C0A]\ * #,##0.00_-;_-[$$-2C0A]\ * &quot;-&quot;??_-;_-@_-"/>
    </dxf>
    <dxf>
      <numFmt numFmtId="164" formatCode="_-[$$-2C0A]\ * #,##0.00_-;\-[$$-2C0A]\ * #,##0.00_-;_-[$$-2C0A]\ * &quot;-&quot;??_-;_-@_-"/>
    </dxf>
    <dxf>
      <numFmt numFmtId="0" formatCode="General"/>
    </dxf>
    <dxf>
      <numFmt numFmtId="0" formatCode="General"/>
    </dxf>
    <dxf>
      <numFmt numFmtId="19" formatCode="d/m/yyyy"/>
    </dxf>
    <dxf>
      <numFmt numFmtId="0" formatCode="General"/>
    </dxf>
    <dxf>
      <fill>
        <patternFill>
          <bgColor rgb="FF92D050"/>
        </patternFill>
      </fill>
    </dxf>
    <dxf>
      <fill>
        <patternFill>
          <bgColor theme="2"/>
        </patternFill>
      </fill>
    </dxf>
    <dxf>
      <font>
        <b/>
        <sz val="11"/>
        <color theme="1"/>
      </font>
      <border>
        <vertical/>
        <horizontal/>
      </border>
    </dxf>
    <dxf>
      <font>
        <color theme="0"/>
      </font>
      <fill>
        <patternFill>
          <bgColor theme="2" tint="-0.89996032593768116"/>
        </patternFill>
      </fill>
      <border diagonalUp="0" diagonalDown="0">
        <left/>
        <right/>
        <top/>
        <bottom/>
        <vertical/>
        <horizontal/>
      </border>
    </dxf>
    <dxf>
      <font>
        <b/>
        <sz val="11"/>
        <color theme="1"/>
      </font>
      <border>
        <vertical/>
        <horizontal/>
      </border>
    </dxf>
    <dxf>
      <font>
        <b val="0"/>
        <i val="0"/>
        <sz val="12"/>
        <color rgb="FFFF0000"/>
        <name val="Gill Sans MT"/>
        <family val="2"/>
        <scheme val="minor"/>
      </font>
      <fill>
        <patternFill>
          <bgColor theme="1"/>
        </patternFill>
      </fill>
      <border diagonalUp="0" diagonalDown="0">
        <left/>
        <right/>
        <top/>
        <bottom/>
        <vertical/>
        <horizontal/>
      </border>
    </dxf>
    <dxf>
      <font>
        <b/>
        <color theme="1"/>
      </font>
      <border>
        <bottom style="thin">
          <color theme="8"/>
        </bottom>
        <vertical/>
        <horizontal/>
      </border>
    </dxf>
    <dxf>
      <font>
        <b val="0"/>
        <i val="0"/>
        <strike val="0"/>
        <u val="none"/>
        <sz val="18"/>
        <color theme="0"/>
        <name val="Gill Sans MT"/>
        <family val="2"/>
        <scheme val="minor"/>
      </font>
      <fill>
        <patternFill>
          <bgColor theme="5"/>
        </patternFill>
      </fill>
      <border diagonalUp="0" diagonalDown="0">
        <left/>
        <right/>
        <top/>
        <bottom/>
        <vertical/>
        <horizontal/>
      </border>
    </dxf>
  </dxfs>
  <tableStyles count="3" defaultTableStyle="TableStyleMedium2" defaultPivotStyle="PivotStyleLight16">
    <tableStyle name="SlicerStyleLight5 2" pivot="0" table="0" count="10" xr9:uid="{FA8C2B49-7D46-4F52-9C6C-574A9DC7489B}">
      <tableStyleElement type="wholeTable" dxfId="19"/>
      <tableStyleElement type="headerRow" dxfId="18"/>
    </tableStyle>
    <tableStyle name="TimeSlicerStyleDark1 2" pivot="0" table="0" count="9" xr9:uid="{26EE41FA-FA45-4D41-A789-68E63E1A75F5}">
      <tableStyleElement type="wholeTable" dxfId="17"/>
      <tableStyleElement type="headerRow" dxfId="16"/>
    </tableStyle>
    <tableStyle name="TimeSlicerStyleDark6 2" pivot="0" table="0" count="9" xr9:uid="{A51B5C45-0179-48BC-9C35-86EED18A1268}">
      <tableStyleElement type="wholeTable" dxfId="15"/>
      <tableStyleElement type="headerRow" dxfId="14"/>
    </tableStyle>
  </tableStyles>
  <colors>
    <mruColors>
      <color rgb="FFEAEAE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9"/>
              </stop>
              <stop position="1">
                <color theme="9"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Dark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10.xml"/><Relationship Id="rId34"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styles" Target="styles.xml"/><Relationship Id="rId33"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microsoft.com/office/2007/relationships/slicerCache" Target="slicerCaches/slicerCache2.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pivotCacheDefinition" Target="pivotCache/pivotCacheDefinition1.xml"/><Relationship Id="rId19" Type="http://schemas.microsoft.com/office/2007/relationships/slicerCache" Target="slicerCaches/slicerCache1.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11/relationships/timelineCache" Target="timelineCaches/timelineCache1.xml"/><Relationship Id="rId27" Type="http://schemas.openxmlformats.org/officeDocument/2006/relationships/powerPivotData" Target="model/item.data"/><Relationship Id="rId30" Type="http://schemas.openxmlformats.org/officeDocument/2006/relationships/customXml" Target="../customXml/item2.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[PF_Diez.xlsm]Tablas dinámicas!Venta por categoria</c:name>
    <c:fmtId val="6"/>
  </c:pivotSource>
  <c:chart>
    <c:title>
      <c:tx>
        <c:rich>
          <a:bodyPr rot="0" spcFirstLastPara="1" vertOverflow="ellipsis" vert="horz" wrap="square" anchor="ctr" anchorCtr="1"/>
          <a:lstStyle/>
          <a:p>
            <a:pPr algn="ctr" rtl="0">
              <a:defRPr lang="es-AR" sz="2400" b="1" i="1" u="none" strike="noStrike" kern="1200" spc="0" baseline="0">
                <a:solidFill>
                  <a:schemeClr val="bg1"/>
                </a:solidFill>
                <a:latin typeface="+mn-lt"/>
                <a:ea typeface="+mn-ea"/>
                <a:cs typeface="+mn-cs"/>
              </a:defRPr>
            </a:pPr>
            <a:r>
              <a:rPr lang="es-AR" sz="2400" b="1" i="1" u="none" strike="noStrike" kern="1200" spc="0" baseline="0">
                <a:solidFill>
                  <a:schemeClr val="bg1"/>
                </a:solidFill>
                <a:latin typeface="+mn-lt"/>
                <a:ea typeface="+mn-ea"/>
                <a:cs typeface="+mn-cs"/>
              </a:rPr>
              <a:t>VENTA POR CATEGORÍA</a:t>
            </a:r>
          </a:p>
        </c:rich>
      </c:tx>
      <c:overlay val="0"/>
      <c:spPr>
        <a:noFill/>
        <a:ln>
          <a:noFill/>
        </a:ln>
        <a:effectLst/>
      </c:spPr>
      <c:txPr>
        <a:bodyPr rot="0" spcFirstLastPara="1" vertOverflow="ellipsis" vert="horz" wrap="square" anchor="ctr" anchorCtr="1"/>
        <a:lstStyle/>
        <a:p>
          <a:pPr algn="ctr" rtl="0">
            <a:defRPr lang="es-AR" sz="2400" b="1" i="1" u="none" strike="noStrike" kern="1200" spc="0" baseline="0">
              <a:solidFill>
                <a:schemeClr val="bg1"/>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s-A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'Tablas dinámicas'!$L$3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01AE-48C2-B592-A2F1615D69B5}"/>
              </c:ext>
            </c:extLst>
          </c:dPt>
          <c:dPt>
            <c:idx val="1"/>
            <c:bubble3D val="0"/>
            <c:spPr>
              <a:solidFill>
                <a:schemeClr val="accent2"/>
              </a:solidFill>
              <a:ln>
                <a:noFill/>
              </a:ln>
              <a:effectLst/>
            </c:spPr>
            <c:extLst>
              <c:ext xmlns:c16="http://schemas.microsoft.com/office/drawing/2014/chart" uri="{C3380CC4-5D6E-409C-BE32-E72D297353CC}">
                <c16:uniqueId val="{00000003-01AE-48C2-B592-A2F1615D69B5}"/>
              </c:ext>
            </c:extLst>
          </c:dPt>
          <c:dPt>
            <c:idx val="2"/>
            <c:bubble3D val="0"/>
            <c:spPr>
              <a:solidFill>
                <a:schemeClr val="accent3"/>
              </a:solidFill>
              <a:ln>
                <a:noFill/>
              </a:ln>
              <a:effectLst/>
            </c:spPr>
            <c:extLst>
              <c:ext xmlns:c16="http://schemas.microsoft.com/office/drawing/2014/chart" uri="{C3380CC4-5D6E-409C-BE32-E72D297353CC}">
                <c16:uniqueId val="{00000005-01AE-48C2-B592-A2F1615D69B5}"/>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s-AR"/>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'Tablas dinámicas'!$K$4:$K$7</c:f>
              <c:strCache>
                <c:ptCount val="3"/>
                <c:pt idx="0">
                  <c:v>Accesorios</c:v>
                </c:pt>
                <c:pt idx="1">
                  <c:v>Computación</c:v>
                </c:pt>
                <c:pt idx="2">
                  <c:v>Telefonía</c:v>
                </c:pt>
              </c:strCache>
            </c:strRef>
          </c:cat>
          <c:val>
            <c:numRef>
              <c:f>'Tablas dinámicas'!$L$4:$L$7</c:f>
              <c:numCache>
                <c:formatCode>General</c:formatCode>
                <c:ptCount val="3"/>
                <c:pt idx="0">
                  <c:v>398</c:v>
                </c:pt>
                <c:pt idx="1">
                  <c:v>390</c:v>
                </c:pt>
                <c:pt idx="2">
                  <c:v>204</c:v>
                </c:pt>
              </c:numCache>
            </c:numRef>
          </c:val>
          <c:extLst>
            <c:ext xmlns:c16="http://schemas.microsoft.com/office/drawing/2014/chart" uri="{C3380CC4-5D6E-409C-BE32-E72D297353CC}">
              <c16:uniqueId val="{00000008-0379-4ABF-8A4A-EAFA2E8D525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[PF_Diez.xlsm]Tablas dinámicas!Venta por producto</c:name>
    <c:fmtId val="6"/>
  </c:pivotSource>
  <c:chart>
    <c:title>
      <c:tx>
        <c:rich>
          <a:bodyPr rot="0" spcFirstLastPara="1" vertOverflow="ellipsis" vert="horz" wrap="square" anchor="ctr" anchorCtr="1"/>
          <a:lstStyle/>
          <a:p>
            <a:pPr>
              <a:defRPr sz="2400" b="1" i="1" u="none" strike="noStrike" kern="1200" spc="0" baseline="0">
                <a:solidFill>
                  <a:schemeClr val="bg1"/>
                </a:solidFill>
                <a:latin typeface="+mn-lt"/>
                <a:ea typeface="+mn-ea"/>
                <a:cs typeface="+mn-cs"/>
              </a:defRPr>
            </a:pPr>
            <a:r>
              <a:rPr lang="es-AR" sz="2400" b="1" i="1" u="none">
                <a:solidFill>
                  <a:schemeClr val="bg1"/>
                </a:solidFill>
                <a:latin typeface="+mn-lt"/>
              </a:rPr>
              <a:t>VENTA POR PRODUCTO</a:t>
            </a:r>
          </a:p>
        </c:rich>
      </c:tx>
      <c:overlay val="0"/>
      <c:spPr>
        <a:noFill/>
        <a:ln>
          <a:noFill/>
        </a:ln>
        <a:effectLst/>
      </c:spPr>
      <c:txPr>
        <a:bodyPr rot="0" spcFirstLastPara="1" vertOverflow="ellipsis" vert="horz" wrap="square" anchor="ctr" anchorCtr="1"/>
        <a:lstStyle/>
        <a:p>
          <a:pPr>
            <a:defRPr sz="2400" b="1" i="1" u="none" strike="noStrike" kern="1200" spc="0" baseline="0">
              <a:solidFill>
                <a:schemeClr val="bg1"/>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pivotFmt>
      <c:pivotFmt>
        <c:idx val="14"/>
        <c:spPr>
          <a:solidFill>
            <a:schemeClr val="accent1"/>
          </a:solidFill>
          <a:ln>
            <a:noFill/>
          </a:ln>
          <a:effectLst/>
        </c:spPr>
      </c:pivotFmt>
    </c:pivotFmts>
    <c:plotArea>
      <c:layout/>
      <c:barChart>
        <c:barDir val="col"/>
        <c:grouping val="clustered"/>
        <c:varyColors val="0"/>
        <c:ser>
          <c:idx val="0"/>
          <c:order val="0"/>
          <c:tx>
            <c:strRef>
              <c:f>'Tablas dinámicas'!$O$3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 dinámicas'!$N$4:$N$9</c:f>
              <c:strCache>
                <c:ptCount val="5"/>
                <c:pt idx="0">
                  <c:v>Smartwatch Y</c:v>
                </c:pt>
                <c:pt idx="1">
                  <c:v>Laptop Pro</c:v>
                </c:pt>
                <c:pt idx="2">
                  <c:v>Smartphone X</c:v>
                </c:pt>
                <c:pt idx="3">
                  <c:v>Tablet S</c:v>
                </c:pt>
                <c:pt idx="4">
                  <c:v>Auriculares Z</c:v>
                </c:pt>
              </c:strCache>
            </c:strRef>
          </c:cat>
          <c:val>
            <c:numRef>
              <c:f>'Tablas dinámicas'!$O$4:$O$9</c:f>
              <c:numCache>
                <c:formatCode>General</c:formatCode>
                <c:ptCount val="5"/>
                <c:pt idx="0">
                  <c:v>228</c:v>
                </c:pt>
                <c:pt idx="1">
                  <c:v>220</c:v>
                </c:pt>
                <c:pt idx="2">
                  <c:v>204</c:v>
                </c:pt>
                <c:pt idx="3">
                  <c:v>170</c:v>
                </c:pt>
                <c:pt idx="4">
                  <c:v>170</c:v>
                </c:pt>
              </c:numCache>
            </c:numRef>
          </c:val>
          <c:extLst>
            <c:ext xmlns:c16="http://schemas.microsoft.com/office/drawing/2014/chart" uri="{C3380CC4-5D6E-409C-BE32-E72D297353CC}">
              <c16:uniqueId val="{00000002-8EF0-4EB3-A191-300D4B77D6C9}"/>
            </c:ext>
          </c:extLst>
        </c:ser>
        <c:dLbls>
          <c:dLblPos val="outEnd"/>
          <c:showLegendKey val="0"/>
          <c:showVal val="1"/>
          <c:showCatName val="0"/>
          <c:showSerName val="0"/>
          <c:showPercent val="0"/>
          <c:showBubbleSize val="0"/>
        </c:dLbls>
        <c:gapWidth val="219"/>
        <c:overlap val="-27"/>
        <c:axId val="1214899583"/>
        <c:axId val="1214897183"/>
      </c:barChart>
      <c:catAx>
        <c:axId val="1214899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s-AR"/>
          </a:p>
        </c:txPr>
        <c:crossAx val="1214897183"/>
        <c:crosses val="autoZero"/>
        <c:auto val="1"/>
        <c:lblAlgn val="ctr"/>
        <c:lblOffset val="100"/>
        <c:noMultiLvlLbl val="0"/>
      </c:catAx>
      <c:valAx>
        <c:axId val="1214897183"/>
        <c:scaling>
          <c:orientation val="minMax"/>
        </c:scaling>
        <c:delete val="1"/>
        <c:axPos val="l"/>
        <c:numFmt formatCode="General" sourceLinked="1"/>
        <c:majorTickMark val="none"/>
        <c:minorTickMark val="none"/>
        <c:tickLblPos val="nextTo"/>
        <c:crossAx val="12148995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[PF_Diez.xlsm]Tablas dinámicas!Venta por mes</c:name>
    <c:fmtId val="6"/>
  </c:pivotSource>
  <c:chart>
    <c:title>
      <c:tx>
        <c:rich>
          <a:bodyPr rot="0" spcFirstLastPara="1" vertOverflow="ellipsis" vert="horz" wrap="square" anchor="ctr" anchorCtr="1"/>
          <a:lstStyle/>
          <a:p>
            <a:pPr algn="ctr" rtl="0">
              <a:defRPr lang="es-AR" sz="2400" b="1" i="1" u="none" strike="noStrike" kern="1200" cap="all" spc="0" normalizeH="0" baseline="0">
                <a:solidFill>
                  <a:schemeClr val="bg1"/>
                </a:solidFill>
                <a:latin typeface="+mn-lt"/>
                <a:ea typeface="+mn-ea"/>
                <a:cs typeface="+mn-cs"/>
              </a:defRPr>
            </a:pPr>
            <a:r>
              <a:rPr lang="es-AR" sz="2400" b="1" i="1" u="none" strike="noStrike" kern="1200" spc="0" baseline="0">
                <a:solidFill>
                  <a:schemeClr val="bg1"/>
                </a:solidFill>
                <a:latin typeface="+mn-lt"/>
                <a:ea typeface="+mn-ea"/>
                <a:cs typeface="+mn-cs"/>
              </a:rPr>
              <a:t>Venta por mes</a:t>
            </a:r>
          </a:p>
        </c:rich>
      </c:tx>
      <c:overlay val="0"/>
      <c:spPr>
        <a:noFill/>
        <a:ln>
          <a:noFill/>
        </a:ln>
        <a:effectLst/>
      </c:spPr>
      <c:txPr>
        <a:bodyPr rot="0" spcFirstLastPara="1" vertOverflow="ellipsis" vert="horz" wrap="square" anchor="ctr" anchorCtr="1"/>
        <a:lstStyle/>
        <a:p>
          <a:pPr algn="ctr" rtl="0">
            <a:defRPr lang="es-AR" sz="2400" b="1" i="1" u="none" strike="noStrike" kern="1200" cap="all" spc="0" normalizeH="0" baseline="0">
              <a:solidFill>
                <a:schemeClr val="bg1"/>
              </a:solidFill>
              <a:latin typeface="+mn-lt"/>
              <a:ea typeface="+mn-ea"/>
              <a:cs typeface="+mn-cs"/>
            </a:defRPr>
          </a:pPr>
          <a:endParaRPr lang="es-A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bg2">
                <a:lumMod val="50000"/>
              </a:schemeClr>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E84C22"/>
            </a:solid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solidFill>
                  <a:latin typeface="+mn-lt"/>
                  <a:ea typeface="+mn-ea"/>
                  <a:cs typeface="+mn-cs"/>
                </a:defRPr>
              </a:pPr>
              <a:endParaRPr lang="es-A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'Tablas dinámicas'!$R$3</c:f>
              <c:strCache>
                <c:ptCount val="1"/>
                <c:pt idx="0">
                  <c:v>Total</c:v>
                </c:pt>
              </c:strCache>
            </c:strRef>
          </c:tx>
          <c:spPr>
            <a:ln w="25400" cap="rnd">
              <a:solidFill>
                <a:schemeClr val="bg2">
                  <a:lumMod val="50000"/>
                </a:schemeClr>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E84C22"/>
              </a:solid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solidFill>
                    <a:latin typeface="+mn-lt"/>
                    <a:ea typeface="+mn-ea"/>
                    <a:cs typeface="+mn-cs"/>
                  </a:defRPr>
                </a:pPr>
                <a:endParaRPr lang="es-A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'Tablas dinámicas'!$Q$4:$Q$16</c:f>
              <c:strCache>
                <c:ptCount val="12"/>
                <c:pt idx="0">
                  <c:v>ene</c:v>
                </c:pt>
                <c:pt idx="1">
                  <c:v>feb</c:v>
                </c:pt>
                <c:pt idx="2">
                  <c:v>mar</c:v>
                </c:pt>
                <c:pt idx="3">
                  <c:v>abr</c:v>
                </c:pt>
                <c:pt idx="4">
                  <c:v>may</c:v>
                </c:pt>
                <c:pt idx="5">
                  <c:v>jun</c:v>
                </c:pt>
                <c:pt idx="6">
                  <c:v>jul</c:v>
                </c:pt>
                <c:pt idx="7">
                  <c:v>ago</c:v>
                </c:pt>
                <c:pt idx="8">
                  <c:v>sept</c:v>
                </c:pt>
                <c:pt idx="9">
                  <c:v>oct</c:v>
                </c:pt>
                <c:pt idx="10">
                  <c:v>nov</c:v>
                </c:pt>
                <c:pt idx="11">
                  <c:v>dic</c:v>
                </c:pt>
              </c:strCache>
            </c:strRef>
          </c:cat>
          <c:val>
            <c:numRef>
              <c:f>'Tablas dinámicas'!$R$4:$R$16</c:f>
              <c:numCache>
                <c:formatCode>General</c:formatCode>
                <c:ptCount val="12"/>
                <c:pt idx="0">
                  <c:v>77</c:v>
                </c:pt>
                <c:pt idx="1">
                  <c:v>81</c:v>
                </c:pt>
                <c:pt idx="2">
                  <c:v>64</c:v>
                </c:pt>
                <c:pt idx="3">
                  <c:v>98</c:v>
                </c:pt>
                <c:pt idx="4">
                  <c:v>92</c:v>
                </c:pt>
                <c:pt idx="5">
                  <c:v>102</c:v>
                </c:pt>
                <c:pt idx="6">
                  <c:v>95</c:v>
                </c:pt>
                <c:pt idx="7">
                  <c:v>94</c:v>
                </c:pt>
                <c:pt idx="8">
                  <c:v>74</c:v>
                </c:pt>
                <c:pt idx="9">
                  <c:v>93</c:v>
                </c:pt>
                <c:pt idx="10">
                  <c:v>70</c:v>
                </c:pt>
                <c:pt idx="11">
                  <c:v>52</c:v>
                </c:pt>
              </c:numCache>
            </c:numRef>
          </c:val>
          <c:smooth val="0"/>
          <c:extLst>
            <c:ext xmlns:c16="http://schemas.microsoft.com/office/drawing/2014/chart" uri="{C3380CC4-5D6E-409C-BE32-E72D297353CC}">
              <c16:uniqueId val="{00000000-07A4-455C-92E3-9698D50780FC}"/>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214907263"/>
        <c:axId val="1214893823"/>
      </c:lineChart>
      <c:catAx>
        <c:axId val="12149072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spc="30" baseline="0">
                <a:solidFill>
                  <a:schemeClr val="lt1"/>
                </a:solidFill>
                <a:latin typeface="+mn-lt"/>
                <a:ea typeface="+mn-ea"/>
                <a:cs typeface="+mn-cs"/>
              </a:defRPr>
            </a:pPr>
            <a:endParaRPr lang="es-AR"/>
          </a:p>
        </c:txPr>
        <c:crossAx val="1214893823"/>
        <c:crosses val="autoZero"/>
        <c:auto val="1"/>
        <c:lblAlgn val="ctr"/>
        <c:lblOffset val="100"/>
        <c:noMultiLvlLbl val="0"/>
      </c:catAx>
      <c:valAx>
        <c:axId val="1214893823"/>
        <c:scaling>
          <c:orientation val="minMax"/>
        </c:scaling>
        <c:delete val="1"/>
        <c:axPos val="l"/>
        <c:numFmt formatCode="General" sourceLinked="1"/>
        <c:majorTickMark val="none"/>
        <c:minorTickMark val="none"/>
        <c:tickLblPos val="nextTo"/>
        <c:crossAx val="1214907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lt1"/>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[PF_Diez.xlsm]Tablas dinámicas!Venta por ubicación</c:name>
    <c:fmtId val="4"/>
  </c:pivotSource>
  <c:chart>
    <c:title>
      <c:tx>
        <c:rich>
          <a:bodyPr rot="0" spcFirstLastPara="1" vertOverflow="ellipsis" vert="horz" wrap="square" anchor="ctr" anchorCtr="1"/>
          <a:lstStyle/>
          <a:p>
            <a:pPr algn="ctr" rtl="0">
              <a:defRPr lang="es-AR" sz="2400" b="1" i="1" u="none" strike="noStrike" kern="1200" cap="all" spc="0" normalizeH="0" baseline="0">
                <a:solidFill>
                  <a:schemeClr val="bg1"/>
                </a:solidFill>
                <a:latin typeface="+mn-lt"/>
                <a:ea typeface="+mn-ea"/>
                <a:cs typeface="+mn-cs"/>
              </a:defRPr>
            </a:pPr>
            <a:r>
              <a:rPr lang="es-AR" sz="2400" b="1" i="1" u="none" strike="noStrike" kern="1200" cap="all" spc="0" normalizeH="0" baseline="0">
                <a:solidFill>
                  <a:schemeClr val="bg1"/>
                </a:solidFill>
                <a:latin typeface="+mn-lt"/>
                <a:ea typeface="+mn-ea"/>
                <a:cs typeface="+mn-cs"/>
              </a:rPr>
              <a:t>Venta por ubicación</a:t>
            </a:r>
          </a:p>
        </c:rich>
      </c:tx>
      <c:overlay val="0"/>
      <c:spPr>
        <a:noFill/>
        <a:ln>
          <a:noFill/>
        </a:ln>
        <a:effectLst/>
      </c:spPr>
      <c:txPr>
        <a:bodyPr rot="0" spcFirstLastPara="1" vertOverflow="ellipsis" vert="horz" wrap="square" anchor="ctr" anchorCtr="1"/>
        <a:lstStyle/>
        <a:p>
          <a:pPr algn="ctr" rtl="0">
            <a:defRPr lang="es-AR" sz="2400" b="1" i="1" u="none" strike="noStrike" kern="1200" cap="all" spc="0" normalizeH="0" baseline="0">
              <a:solidFill>
                <a:schemeClr val="bg1"/>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 dinámicas'!$U$3:$U$4</c:f>
              <c:strCache>
                <c:ptCount val="1"/>
                <c:pt idx="0">
                  <c:v>Accesorios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 dinámicas'!$T$5:$T$20</c:f>
              <c:strCache>
                <c:ptCount val="15"/>
                <c:pt idx="0">
                  <c:v>Río Negro</c:v>
                </c:pt>
                <c:pt idx="1">
                  <c:v>Salta</c:v>
                </c:pt>
                <c:pt idx="2">
                  <c:v>Tucumán</c:v>
                </c:pt>
                <c:pt idx="3">
                  <c:v>CABA</c:v>
                </c:pt>
                <c:pt idx="4">
                  <c:v>San Juan</c:v>
                </c:pt>
                <c:pt idx="5">
                  <c:v>Corrientes</c:v>
                </c:pt>
                <c:pt idx="6">
                  <c:v>Entre Ríos</c:v>
                </c:pt>
                <c:pt idx="7">
                  <c:v>Buenos Aires</c:v>
                </c:pt>
                <c:pt idx="8">
                  <c:v>Misiones</c:v>
                </c:pt>
                <c:pt idx="9">
                  <c:v>Chubut</c:v>
                </c:pt>
                <c:pt idx="10">
                  <c:v>Santa Fe</c:v>
                </c:pt>
                <c:pt idx="11">
                  <c:v>Neuquén</c:v>
                </c:pt>
                <c:pt idx="12">
                  <c:v>San Luis</c:v>
                </c:pt>
                <c:pt idx="13">
                  <c:v>Córdoba</c:v>
                </c:pt>
                <c:pt idx="14">
                  <c:v>Mendoza</c:v>
                </c:pt>
              </c:strCache>
            </c:strRef>
          </c:cat>
          <c:val>
            <c:numRef>
              <c:f>'Tablas dinámicas'!$U$5:$U$20</c:f>
              <c:numCache>
                <c:formatCode>General</c:formatCode>
                <c:ptCount val="15"/>
                <c:pt idx="0">
                  <c:v>40</c:v>
                </c:pt>
                <c:pt idx="1">
                  <c:v>29</c:v>
                </c:pt>
                <c:pt idx="2">
                  <c:v>30</c:v>
                </c:pt>
                <c:pt idx="3">
                  <c:v>32</c:v>
                </c:pt>
                <c:pt idx="4">
                  <c:v>30</c:v>
                </c:pt>
                <c:pt idx="5">
                  <c:v>36</c:v>
                </c:pt>
                <c:pt idx="6">
                  <c:v>25</c:v>
                </c:pt>
                <c:pt idx="7">
                  <c:v>26</c:v>
                </c:pt>
                <c:pt idx="8">
                  <c:v>31</c:v>
                </c:pt>
                <c:pt idx="9">
                  <c:v>22</c:v>
                </c:pt>
                <c:pt idx="10">
                  <c:v>24</c:v>
                </c:pt>
                <c:pt idx="11">
                  <c:v>18</c:v>
                </c:pt>
                <c:pt idx="12">
                  <c:v>17</c:v>
                </c:pt>
                <c:pt idx="13">
                  <c:v>16</c:v>
                </c:pt>
                <c:pt idx="14">
                  <c:v>22</c:v>
                </c:pt>
              </c:numCache>
            </c:numRef>
          </c:val>
          <c:extLst>
            <c:ext xmlns:c16="http://schemas.microsoft.com/office/drawing/2014/chart" uri="{C3380CC4-5D6E-409C-BE32-E72D297353CC}">
              <c16:uniqueId val="{00000004-D4A5-4AE0-9A8B-4F48F58316AF}"/>
            </c:ext>
          </c:extLst>
        </c:ser>
        <c:ser>
          <c:idx val="1"/>
          <c:order val="1"/>
          <c:tx>
            <c:strRef>
              <c:f>'Tablas dinámicas'!$V$3:$V$4</c:f>
              <c:strCache>
                <c:ptCount val="1"/>
                <c:pt idx="0">
                  <c:v>Computación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 dinámicas'!$T$5:$T$20</c:f>
              <c:strCache>
                <c:ptCount val="15"/>
                <c:pt idx="0">
                  <c:v>Río Negro</c:v>
                </c:pt>
                <c:pt idx="1">
                  <c:v>Salta</c:v>
                </c:pt>
                <c:pt idx="2">
                  <c:v>Tucumán</c:v>
                </c:pt>
                <c:pt idx="3">
                  <c:v>CABA</c:v>
                </c:pt>
                <c:pt idx="4">
                  <c:v>San Juan</c:v>
                </c:pt>
                <c:pt idx="5">
                  <c:v>Corrientes</c:v>
                </c:pt>
                <c:pt idx="6">
                  <c:v>Entre Ríos</c:v>
                </c:pt>
                <c:pt idx="7">
                  <c:v>Buenos Aires</c:v>
                </c:pt>
                <c:pt idx="8">
                  <c:v>Misiones</c:v>
                </c:pt>
                <c:pt idx="9">
                  <c:v>Chubut</c:v>
                </c:pt>
                <c:pt idx="10">
                  <c:v>Santa Fe</c:v>
                </c:pt>
                <c:pt idx="11">
                  <c:v>Neuquén</c:v>
                </c:pt>
                <c:pt idx="12">
                  <c:v>San Luis</c:v>
                </c:pt>
                <c:pt idx="13">
                  <c:v>Córdoba</c:v>
                </c:pt>
                <c:pt idx="14">
                  <c:v>Mendoza</c:v>
                </c:pt>
              </c:strCache>
            </c:strRef>
          </c:cat>
          <c:val>
            <c:numRef>
              <c:f>'Tablas dinámicas'!$V$5:$V$20</c:f>
              <c:numCache>
                <c:formatCode>General</c:formatCode>
                <c:ptCount val="15"/>
                <c:pt idx="0">
                  <c:v>40</c:v>
                </c:pt>
                <c:pt idx="1">
                  <c:v>35</c:v>
                </c:pt>
                <c:pt idx="2">
                  <c:v>31</c:v>
                </c:pt>
                <c:pt idx="3">
                  <c:v>27</c:v>
                </c:pt>
                <c:pt idx="4">
                  <c:v>27</c:v>
                </c:pt>
                <c:pt idx="5">
                  <c:v>27</c:v>
                </c:pt>
                <c:pt idx="6">
                  <c:v>31</c:v>
                </c:pt>
                <c:pt idx="7">
                  <c:v>17</c:v>
                </c:pt>
                <c:pt idx="8">
                  <c:v>25</c:v>
                </c:pt>
                <c:pt idx="9">
                  <c:v>21</c:v>
                </c:pt>
                <c:pt idx="10">
                  <c:v>19</c:v>
                </c:pt>
                <c:pt idx="11">
                  <c:v>27</c:v>
                </c:pt>
                <c:pt idx="12">
                  <c:v>24</c:v>
                </c:pt>
                <c:pt idx="13">
                  <c:v>19</c:v>
                </c:pt>
                <c:pt idx="14">
                  <c:v>20</c:v>
                </c:pt>
              </c:numCache>
            </c:numRef>
          </c:val>
          <c:extLst>
            <c:ext xmlns:c16="http://schemas.microsoft.com/office/drawing/2014/chart" uri="{C3380CC4-5D6E-409C-BE32-E72D297353CC}">
              <c16:uniqueId val="{00000005-D4A5-4AE0-9A8B-4F48F58316AF}"/>
            </c:ext>
          </c:extLst>
        </c:ser>
        <c:ser>
          <c:idx val="2"/>
          <c:order val="2"/>
          <c:tx>
            <c:strRef>
              <c:f>'Tablas dinámicas'!$W$3:$W$4</c:f>
              <c:strCache>
                <c:ptCount val="1"/>
                <c:pt idx="0">
                  <c:v>Telefonía</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 dinámicas'!$T$5:$T$20</c:f>
              <c:strCache>
                <c:ptCount val="15"/>
                <c:pt idx="0">
                  <c:v>Río Negro</c:v>
                </c:pt>
                <c:pt idx="1">
                  <c:v>Salta</c:v>
                </c:pt>
                <c:pt idx="2">
                  <c:v>Tucumán</c:v>
                </c:pt>
                <c:pt idx="3">
                  <c:v>CABA</c:v>
                </c:pt>
                <c:pt idx="4">
                  <c:v>San Juan</c:v>
                </c:pt>
                <c:pt idx="5">
                  <c:v>Corrientes</c:v>
                </c:pt>
                <c:pt idx="6">
                  <c:v>Entre Ríos</c:v>
                </c:pt>
                <c:pt idx="7">
                  <c:v>Buenos Aires</c:v>
                </c:pt>
                <c:pt idx="8">
                  <c:v>Misiones</c:v>
                </c:pt>
                <c:pt idx="9">
                  <c:v>Chubut</c:v>
                </c:pt>
                <c:pt idx="10">
                  <c:v>Santa Fe</c:v>
                </c:pt>
                <c:pt idx="11">
                  <c:v>Neuquén</c:v>
                </c:pt>
                <c:pt idx="12">
                  <c:v>San Luis</c:v>
                </c:pt>
                <c:pt idx="13">
                  <c:v>Córdoba</c:v>
                </c:pt>
                <c:pt idx="14">
                  <c:v>Mendoza</c:v>
                </c:pt>
              </c:strCache>
            </c:strRef>
          </c:cat>
          <c:val>
            <c:numRef>
              <c:f>'Tablas dinámicas'!$W$5:$W$20</c:f>
              <c:numCache>
                <c:formatCode>General</c:formatCode>
                <c:ptCount val="15"/>
                <c:pt idx="0">
                  <c:v>19</c:v>
                </c:pt>
                <c:pt idx="1">
                  <c:v>21</c:v>
                </c:pt>
                <c:pt idx="2">
                  <c:v>13</c:v>
                </c:pt>
                <c:pt idx="3">
                  <c:v>12</c:v>
                </c:pt>
                <c:pt idx="4">
                  <c:v>12</c:v>
                </c:pt>
                <c:pt idx="5">
                  <c:v>5</c:v>
                </c:pt>
                <c:pt idx="6">
                  <c:v>12</c:v>
                </c:pt>
                <c:pt idx="7">
                  <c:v>18</c:v>
                </c:pt>
                <c:pt idx="8">
                  <c:v>5</c:v>
                </c:pt>
                <c:pt idx="9">
                  <c:v>17</c:v>
                </c:pt>
                <c:pt idx="10">
                  <c:v>16</c:v>
                </c:pt>
                <c:pt idx="11">
                  <c:v>14</c:v>
                </c:pt>
                <c:pt idx="12">
                  <c:v>16</c:v>
                </c:pt>
                <c:pt idx="13">
                  <c:v>16</c:v>
                </c:pt>
                <c:pt idx="14">
                  <c:v>8</c:v>
                </c:pt>
              </c:numCache>
            </c:numRef>
          </c:val>
          <c:extLst>
            <c:ext xmlns:c16="http://schemas.microsoft.com/office/drawing/2014/chart" uri="{C3380CC4-5D6E-409C-BE32-E72D297353CC}">
              <c16:uniqueId val="{00000006-D4A5-4AE0-9A8B-4F48F58316AF}"/>
            </c:ext>
          </c:extLst>
        </c:ser>
        <c:dLbls>
          <c:dLblPos val="outEnd"/>
          <c:showLegendKey val="0"/>
          <c:showVal val="1"/>
          <c:showCatName val="0"/>
          <c:showSerName val="0"/>
          <c:showPercent val="0"/>
          <c:showBubbleSize val="0"/>
        </c:dLbls>
        <c:gapWidth val="219"/>
        <c:overlap val="-27"/>
        <c:axId val="1214896703"/>
        <c:axId val="1214913983"/>
      </c:barChart>
      <c:catAx>
        <c:axId val="121489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s-AR"/>
          </a:p>
        </c:txPr>
        <c:crossAx val="1214913983"/>
        <c:crosses val="autoZero"/>
        <c:auto val="1"/>
        <c:lblAlgn val="ctr"/>
        <c:lblOffset val="100"/>
        <c:noMultiLvlLbl val="0"/>
      </c:catAx>
      <c:valAx>
        <c:axId val="1214913983"/>
        <c:scaling>
          <c:orientation val="minMax"/>
        </c:scaling>
        <c:delete val="1"/>
        <c:axPos val="l"/>
        <c:numFmt formatCode="General" sourceLinked="1"/>
        <c:majorTickMark val="none"/>
        <c:minorTickMark val="none"/>
        <c:tickLblPos val="nextTo"/>
        <c:crossAx val="1214896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535280</xdr:colOff>
      <xdr:row>9</xdr:row>
      <xdr:rowOff>17529</xdr:rowOff>
    </xdr:from>
    <xdr:to>
      <xdr:col>13</xdr:col>
      <xdr:colOff>520313</xdr:colOff>
      <xdr:row>14</xdr:row>
      <xdr:rowOff>27054</xdr:rowOff>
    </xdr:to>
    <xdr:sp macro="[0]!Redireccionamiento_Storytelling" textlink="">
      <xdr:nvSpPr>
        <xdr:cNvPr id="2" name="Rectángulo: esquinas redondeadas 1">
          <a:extLst>
            <a:ext uri="{FF2B5EF4-FFF2-40B4-BE49-F238E27FC236}">
              <a16:creationId xmlns:a16="http://schemas.microsoft.com/office/drawing/2014/main" id="{0B6BA0DB-DA0B-5BB9-356A-AB85EB01D0B5}"/>
            </a:ext>
          </a:extLst>
        </xdr:cNvPr>
        <xdr:cNvSpPr/>
      </xdr:nvSpPr>
      <xdr:spPr>
        <a:xfrm>
          <a:off x="8099251" y="2034588"/>
          <a:ext cx="3346797" cy="1130113"/>
        </a:xfrm>
        <a:prstGeom prst="roundRect">
          <a:avLst/>
        </a:prstGeom>
        <a:solidFill>
          <a:schemeClr val="accent3"/>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AR" sz="1800" b="1" i="1"/>
            <a:t>STORYTELLING</a:t>
          </a:r>
        </a:p>
      </xdr:txBody>
    </xdr:sp>
    <xdr:clientData/>
  </xdr:twoCellAnchor>
  <xdr:twoCellAnchor>
    <xdr:from>
      <xdr:col>8</xdr:col>
      <xdr:colOff>518272</xdr:colOff>
      <xdr:row>5</xdr:row>
      <xdr:rowOff>135031</xdr:rowOff>
    </xdr:from>
    <xdr:to>
      <xdr:col>14</xdr:col>
      <xdr:colOff>537322</xdr:colOff>
      <xdr:row>7</xdr:row>
      <xdr:rowOff>144555</xdr:rowOff>
    </xdr:to>
    <xdr:sp macro="" textlink="">
      <xdr:nvSpPr>
        <xdr:cNvPr id="6" name="Rectángulo: esquinas redondeadas 5">
          <a:extLst>
            <a:ext uri="{FF2B5EF4-FFF2-40B4-BE49-F238E27FC236}">
              <a16:creationId xmlns:a16="http://schemas.microsoft.com/office/drawing/2014/main" id="{5B7FD2F6-6B73-1718-ECEE-236025929858}"/>
            </a:ext>
          </a:extLst>
        </xdr:cNvPr>
        <xdr:cNvSpPr/>
      </xdr:nvSpPr>
      <xdr:spPr>
        <a:xfrm>
          <a:off x="7241801" y="1255619"/>
          <a:ext cx="5061697" cy="457760"/>
        </a:xfrm>
        <a:prstGeom prst="roundRect">
          <a:avLst/>
        </a:prstGeom>
        <a:solidFill>
          <a:schemeClr val="accent3"/>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s-AR" sz="1800" b="1" i="1">
              <a:latin typeface="+mn-lt"/>
            </a:rPr>
            <a:t>DESEMPEÑO VENTAS 2024</a:t>
          </a:r>
        </a:p>
      </xdr:txBody>
    </xdr:sp>
    <xdr:clientData/>
  </xdr:twoCellAnchor>
  <xdr:twoCellAnchor>
    <xdr:from>
      <xdr:col>9</xdr:col>
      <xdr:colOff>535280</xdr:colOff>
      <xdr:row>15</xdr:row>
      <xdr:rowOff>124145</xdr:rowOff>
    </xdr:from>
    <xdr:to>
      <xdr:col>13</xdr:col>
      <xdr:colOff>520313</xdr:colOff>
      <xdr:row>20</xdr:row>
      <xdr:rowOff>133671</xdr:rowOff>
    </xdr:to>
    <xdr:sp macro="[0]!Redireccionamiento_Dataset" textlink="">
      <xdr:nvSpPr>
        <xdr:cNvPr id="7" name="Rectángulo: esquinas redondeadas 6">
          <a:extLst>
            <a:ext uri="{FF2B5EF4-FFF2-40B4-BE49-F238E27FC236}">
              <a16:creationId xmlns:a16="http://schemas.microsoft.com/office/drawing/2014/main" id="{20084408-21C0-4EF3-BF6D-63E94E2F00C9}"/>
            </a:ext>
          </a:extLst>
        </xdr:cNvPr>
        <xdr:cNvSpPr/>
      </xdr:nvSpPr>
      <xdr:spPr>
        <a:xfrm>
          <a:off x="8099251" y="3485910"/>
          <a:ext cx="3346797" cy="1130114"/>
        </a:xfrm>
        <a:prstGeom prst="roundRect">
          <a:avLst/>
        </a:prstGeom>
        <a:solidFill>
          <a:schemeClr val="accent3"/>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AR" sz="1800" b="1" i="1">
              <a:solidFill>
                <a:schemeClr val="lt1"/>
              </a:solidFill>
              <a:effectLst/>
              <a:latin typeface="+mn-lt"/>
              <a:ea typeface="+mn-ea"/>
              <a:cs typeface="+mn-cs"/>
            </a:rPr>
            <a:t>DATASET</a:t>
          </a:r>
          <a:endParaRPr lang="es-AR" sz="3200" b="1" i="1">
            <a:effectLst/>
          </a:endParaRPr>
        </a:p>
      </xdr:txBody>
    </xdr:sp>
    <xdr:clientData/>
  </xdr:twoCellAnchor>
  <xdr:twoCellAnchor>
    <xdr:from>
      <xdr:col>9</xdr:col>
      <xdr:colOff>535280</xdr:colOff>
      <xdr:row>22</xdr:row>
      <xdr:rowOff>6645</xdr:rowOff>
    </xdr:from>
    <xdr:to>
      <xdr:col>13</xdr:col>
      <xdr:colOff>520313</xdr:colOff>
      <xdr:row>27</xdr:row>
      <xdr:rowOff>16170</xdr:rowOff>
    </xdr:to>
    <xdr:sp macro="[0]!Redireccionamiento_Preguntas_Respuestas" textlink="">
      <xdr:nvSpPr>
        <xdr:cNvPr id="8" name="Rectángulo: esquinas redondeadas 7">
          <a:extLst>
            <a:ext uri="{FF2B5EF4-FFF2-40B4-BE49-F238E27FC236}">
              <a16:creationId xmlns:a16="http://schemas.microsoft.com/office/drawing/2014/main" id="{B5D0A875-F6EB-4811-A40B-D1CDD0E647D4}"/>
            </a:ext>
          </a:extLst>
        </xdr:cNvPr>
        <xdr:cNvSpPr/>
      </xdr:nvSpPr>
      <xdr:spPr>
        <a:xfrm>
          <a:off x="8099251" y="4937233"/>
          <a:ext cx="3346797" cy="1130113"/>
        </a:xfrm>
        <a:prstGeom prst="roundRect">
          <a:avLst/>
        </a:prstGeom>
        <a:solidFill>
          <a:schemeClr val="accent3"/>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AR" sz="1800" b="1" i="1">
              <a:solidFill>
                <a:schemeClr val="lt1"/>
              </a:solidFill>
              <a:effectLst/>
              <a:latin typeface="+mn-lt"/>
              <a:ea typeface="+mn-ea"/>
              <a:cs typeface="+mn-cs"/>
            </a:rPr>
            <a:t>PREGUNTAS Y</a:t>
          </a:r>
          <a:r>
            <a:rPr lang="es-AR" sz="1800" b="1" i="1" baseline="0">
              <a:solidFill>
                <a:schemeClr val="lt1"/>
              </a:solidFill>
              <a:effectLst/>
              <a:latin typeface="+mn-lt"/>
              <a:ea typeface="+mn-ea"/>
              <a:cs typeface="+mn-cs"/>
            </a:rPr>
            <a:t> RESPUESTAS</a:t>
          </a:r>
          <a:endParaRPr lang="es-AR" sz="3200">
            <a:effectLst/>
          </a:endParaRPr>
        </a:p>
      </xdr:txBody>
    </xdr:sp>
    <xdr:clientData/>
  </xdr:twoCellAnchor>
  <xdr:twoCellAnchor>
    <xdr:from>
      <xdr:col>9</xdr:col>
      <xdr:colOff>535280</xdr:colOff>
      <xdr:row>28</xdr:row>
      <xdr:rowOff>113261</xdr:rowOff>
    </xdr:from>
    <xdr:to>
      <xdr:col>13</xdr:col>
      <xdr:colOff>520313</xdr:colOff>
      <xdr:row>33</xdr:row>
      <xdr:rowOff>122785</xdr:rowOff>
    </xdr:to>
    <xdr:sp macro="[0]!Redireccionamiento_Dashboard" textlink="">
      <xdr:nvSpPr>
        <xdr:cNvPr id="9" name="Rectángulo: esquinas redondeadas 8">
          <a:extLst>
            <a:ext uri="{FF2B5EF4-FFF2-40B4-BE49-F238E27FC236}">
              <a16:creationId xmlns:a16="http://schemas.microsoft.com/office/drawing/2014/main" id="{91134BC4-B0D3-484C-B037-B99C05D8999E}"/>
            </a:ext>
          </a:extLst>
        </xdr:cNvPr>
        <xdr:cNvSpPr/>
      </xdr:nvSpPr>
      <xdr:spPr>
        <a:xfrm>
          <a:off x="8099251" y="6388555"/>
          <a:ext cx="3346797" cy="1130112"/>
        </a:xfrm>
        <a:prstGeom prst="roundRect">
          <a:avLst/>
        </a:prstGeom>
        <a:solidFill>
          <a:schemeClr val="accent3"/>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AR" sz="1800" b="1" i="1">
              <a:solidFill>
                <a:schemeClr val="lt1"/>
              </a:solidFill>
              <a:effectLst/>
              <a:latin typeface="+mn-lt"/>
              <a:ea typeface="+mn-ea"/>
              <a:cs typeface="+mn-cs"/>
            </a:rPr>
            <a:t>DASHBOARD</a:t>
          </a:r>
          <a:endParaRPr lang="es-AR" sz="3200">
            <a:effectLst/>
          </a:endParaRPr>
        </a:p>
      </xdr:txBody>
    </xdr:sp>
    <xdr:clientData/>
  </xdr:twoCellAnchor>
  <xdr:twoCellAnchor>
    <xdr:from>
      <xdr:col>16</xdr:col>
      <xdr:colOff>134471</xdr:colOff>
      <xdr:row>3</xdr:row>
      <xdr:rowOff>1680</xdr:rowOff>
    </xdr:from>
    <xdr:to>
      <xdr:col>18</xdr:col>
      <xdr:colOff>168089</xdr:colOff>
      <xdr:row>5</xdr:row>
      <xdr:rowOff>201705</xdr:rowOff>
    </xdr:to>
    <xdr:sp macro="" textlink="">
      <xdr:nvSpPr>
        <xdr:cNvPr id="3" name="Bocadillo: rectángulo con esquinas redondeadas 2">
          <a:extLst>
            <a:ext uri="{FF2B5EF4-FFF2-40B4-BE49-F238E27FC236}">
              <a16:creationId xmlns:a16="http://schemas.microsoft.com/office/drawing/2014/main" id="{6E0CAB64-6015-F558-2503-0EEFFA2D34EC}"/>
            </a:ext>
          </a:extLst>
        </xdr:cNvPr>
        <xdr:cNvSpPr/>
      </xdr:nvSpPr>
      <xdr:spPr>
        <a:xfrm>
          <a:off x="13581530" y="674033"/>
          <a:ext cx="1714500" cy="648260"/>
        </a:xfrm>
        <a:prstGeom prst="wedgeRoundRectCallout">
          <a:avLst>
            <a:gd name="adj1" fmla="val -41527"/>
            <a:gd name="adj2" fmla="val 86697"/>
            <a:gd name="adj3" fmla="val 16667"/>
          </a:avLst>
        </a:prstGeom>
        <a:solidFill>
          <a:schemeClr val="accent1">
            <a:alpha val="4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AR" sz="1100">
              <a:solidFill>
                <a:schemeClr val="lt1"/>
              </a:solidFill>
            </a:rPr>
            <a:t>Se recomienda poner</a:t>
          </a:r>
          <a:r>
            <a:rPr lang="es-AR" sz="1100" baseline="0">
              <a:solidFill>
                <a:schemeClr val="lt1"/>
              </a:solidFill>
            </a:rPr>
            <a:t> "modo de pantalla completa"</a:t>
          </a:r>
          <a:endParaRPr lang="es-AR" sz="1100">
            <a:solidFill>
              <a:schemeClr val="lt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33</xdr:row>
      <xdr:rowOff>156884</xdr:rowOff>
    </xdr:from>
    <xdr:to>
      <xdr:col>15</xdr:col>
      <xdr:colOff>783158</xdr:colOff>
      <xdr:row>35</xdr:row>
      <xdr:rowOff>1525</xdr:rowOff>
    </xdr:to>
    <xdr:sp macro="[0]!Redireccionamiento_Índice" textlink="">
      <xdr:nvSpPr>
        <xdr:cNvPr id="2" name="Rectángulo: esquinas redondeadas 1">
          <a:extLst>
            <a:ext uri="{FF2B5EF4-FFF2-40B4-BE49-F238E27FC236}">
              <a16:creationId xmlns:a16="http://schemas.microsoft.com/office/drawing/2014/main" id="{C4859DC3-4EC2-4EE9-96A6-D9E6F366BD4B}"/>
            </a:ext>
          </a:extLst>
        </xdr:cNvPr>
        <xdr:cNvSpPr/>
      </xdr:nvSpPr>
      <xdr:spPr>
        <a:xfrm>
          <a:off x="11766176" y="7530355"/>
          <a:ext cx="1623600" cy="292876"/>
        </a:xfrm>
        <a:prstGeom prst="roundRect">
          <a:avLst/>
        </a:prstGeom>
        <a:solidFill>
          <a:schemeClr val="accent3"/>
        </a:solidFill>
        <a:ln>
          <a:solidFill>
            <a:schemeClr val="accent3"/>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s-AR" sz="1000" b="1" i="0" u="none" strike="noStrike" kern="1200" cap="all" spc="120" normalizeH="0" baseline="0">
              <a:solidFill>
                <a:schemeClr val="bg1"/>
              </a:solidFill>
              <a:latin typeface="+mn-lt"/>
              <a:ea typeface="+mn-ea"/>
              <a:cs typeface="+mn-cs"/>
            </a:rPr>
            <a:t>índice</a:t>
          </a:r>
        </a:p>
        <a:p>
          <a:pPr marL="0" indent="0" algn="ctr"/>
          <a:endParaRPr lang="es-AR" sz="1000" b="1" i="0" u="none" strike="noStrike" kern="1200" cap="all" spc="120" normalizeH="0" baseline="0">
            <a:solidFill>
              <a:schemeClr val="bg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593911</xdr:colOff>
      <xdr:row>0</xdr:row>
      <xdr:rowOff>67235</xdr:rowOff>
    </xdr:from>
    <xdr:to>
      <xdr:col>12</xdr:col>
      <xdr:colOff>1085717</xdr:colOff>
      <xdr:row>1</xdr:row>
      <xdr:rowOff>145517</xdr:rowOff>
    </xdr:to>
    <xdr:sp macro="[0]!Redireccionamiento_Índice" textlink="">
      <xdr:nvSpPr>
        <xdr:cNvPr id="2" name="Rectángulo: esquinas redondeadas 1">
          <a:extLst>
            <a:ext uri="{FF2B5EF4-FFF2-40B4-BE49-F238E27FC236}">
              <a16:creationId xmlns:a16="http://schemas.microsoft.com/office/drawing/2014/main" id="{0782622D-1CE2-4FEE-BBD2-2195C8B05165}"/>
            </a:ext>
          </a:extLst>
        </xdr:cNvPr>
        <xdr:cNvSpPr/>
      </xdr:nvSpPr>
      <xdr:spPr>
        <a:xfrm>
          <a:off x="12640235" y="67235"/>
          <a:ext cx="1623600" cy="302400"/>
        </a:xfrm>
        <a:prstGeom prst="roundRect">
          <a:avLst/>
        </a:prstGeom>
        <a:solidFill>
          <a:schemeClr val="accent3"/>
        </a:solidFill>
        <a:ln>
          <a:solidFill>
            <a:schemeClr val="accent3"/>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s-AR" sz="1000" b="1" i="0" u="none" strike="noStrike" kern="1200" cap="all" spc="120" normalizeH="0" baseline="0">
              <a:solidFill>
                <a:schemeClr val="bg1"/>
              </a:solidFill>
              <a:latin typeface="+mn-lt"/>
              <a:ea typeface="+mn-ea"/>
              <a:cs typeface="+mn-cs"/>
            </a:rPr>
            <a:t>índice</a:t>
          </a:r>
        </a:p>
        <a:p>
          <a:pPr marL="0" indent="0" algn="ctr"/>
          <a:endParaRPr lang="es-AR" sz="1000" b="1" i="0" u="none" strike="noStrike" kern="1200" cap="all" spc="120" normalizeH="0" baseline="0">
            <a:solidFill>
              <a:schemeClr val="bg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56030</xdr:colOff>
      <xdr:row>0</xdr:row>
      <xdr:rowOff>56030</xdr:rowOff>
    </xdr:from>
    <xdr:to>
      <xdr:col>19</xdr:col>
      <xdr:colOff>839189</xdr:colOff>
      <xdr:row>1</xdr:row>
      <xdr:rowOff>134312</xdr:rowOff>
    </xdr:to>
    <xdr:sp macro="[0]!Redireccionamiento_Índice" textlink="">
      <xdr:nvSpPr>
        <xdr:cNvPr id="2" name="Rectángulo: esquinas redondeadas 1">
          <a:extLst>
            <a:ext uri="{FF2B5EF4-FFF2-40B4-BE49-F238E27FC236}">
              <a16:creationId xmlns:a16="http://schemas.microsoft.com/office/drawing/2014/main" id="{6DB8EF26-2C89-46CF-B1C0-2E4F9C53D6F8}"/>
            </a:ext>
          </a:extLst>
        </xdr:cNvPr>
        <xdr:cNvSpPr/>
      </xdr:nvSpPr>
      <xdr:spPr>
        <a:xfrm>
          <a:off x="14623677" y="56030"/>
          <a:ext cx="1623600" cy="302400"/>
        </a:xfrm>
        <a:prstGeom prst="roundRect">
          <a:avLst/>
        </a:prstGeom>
        <a:solidFill>
          <a:schemeClr val="accent3"/>
        </a:solidFill>
        <a:ln>
          <a:solidFill>
            <a:schemeClr val="accent3"/>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s-AR" sz="1000" b="1" i="0" u="none" strike="noStrike" kern="1200" cap="all" spc="120" normalizeH="0" baseline="0">
              <a:solidFill>
                <a:schemeClr val="bg1"/>
              </a:solidFill>
              <a:latin typeface="+mn-lt"/>
              <a:ea typeface="+mn-ea"/>
              <a:cs typeface="+mn-cs"/>
            </a:rPr>
            <a:t>índice</a:t>
          </a:r>
        </a:p>
        <a:p>
          <a:pPr marL="0" indent="0" algn="ctr"/>
          <a:endParaRPr lang="es-AR" sz="1000" b="1" i="0" u="none" strike="noStrike" kern="1200" cap="all" spc="120" normalizeH="0" baseline="0">
            <a:solidFill>
              <a:schemeClr val="bg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733185</xdr:colOff>
      <xdr:row>0</xdr:row>
      <xdr:rowOff>96048</xdr:rowOff>
    </xdr:from>
    <xdr:to>
      <xdr:col>19</xdr:col>
      <xdr:colOff>0</xdr:colOff>
      <xdr:row>2</xdr:row>
      <xdr:rowOff>187377</xdr:rowOff>
    </xdr:to>
    <xdr:sp macro="" textlink="">
      <xdr:nvSpPr>
        <xdr:cNvPr id="18" name="Rectángulo: esquinas redondeadas 17">
          <a:extLst>
            <a:ext uri="{FF2B5EF4-FFF2-40B4-BE49-F238E27FC236}">
              <a16:creationId xmlns:a16="http://schemas.microsoft.com/office/drawing/2014/main" id="{9B285653-3E54-4860-575D-CF2CB8439435}"/>
            </a:ext>
          </a:extLst>
        </xdr:cNvPr>
        <xdr:cNvSpPr/>
      </xdr:nvSpPr>
      <xdr:spPr>
        <a:xfrm>
          <a:off x="5305185" y="96048"/>
          <a:ext cx="10904633" cy="524284"/>
        </a:xfrm>
        <a:prstGeom prst="roundRect">
          <a:avLst/>
        </a:prstGeom>
        <a:solidFill>
          <a:schemeClr val="accent3"/>
        </a:solidFill>
        <a:ln>
          <a:noFill/>
        </a:ln>
        <a:effectLst>
          <a:outerShdw blurRad="44450" dist="27940" dir="5400000" algn="ctr">
            <a:srgbClr val="000000">
              <a:alpha val="32000"/>
            </a:srgb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s-AR" sz="2000" b="1" i="1" u="none" strike="noStrike" kern="1200" cap="all" spc="120" normalizeH="0" baseline="0">
              <a:solidFill>
                <a:schemeClr val="bg1"/>
              </a:solidFill>
              <a:latin typeface="+mn-lt"/>
              <a:ea typeface="+mn-ea"/>
              <a:cs typeface="+mn-cs"/>
            </a:rPr>
            <a:t>Reporte</a:t>
          </a:r>
          <a:r>
            <a:rPr lang="es-AR" sz="1400" b="1" i="1">
              <a:latin typeface="+mn-lt"/>
            </a:rPr>
            <a:t> </a:t>
          </a:r>
          <a:r>
            <a:rPr lang="es-AR" sz="2000" b="1" i="1" u="none" strike="noStrike" kern="1200" cap="all" spc="120" normalizeH="0" baseline="0">
              <a:solidFill>
                <a:schemeClr val="bg1"/>
              </a:solidFill>
              <a:latin typeface="+mn-lt"/>
              <a:ea typeface="+mn-ea"/>
              <a:cs typeface="+mn-cs"/>
            </a:rPr>
            <a:t>de</a:t>
          </a:r>
          <a:r>
            <a:rPr lang="es-AR" sz="1400" b="1" i="1">
              <a:latin typeface="+mn-lt"/>
            </a:rPr>
            <a:t> </a:t>
          </a:r>
          <a:r>
            <a:rPr lang="es-AR" sz="2000" b="1" i="1" u="none" strike="noStrike" kern="1200" cap="all" spc="120" normalizeH="0" baseline="0">
              <a:solidFill>
                <a:schemeClr val="bg1"/>
              </a:solidFill>
              <a:latin typeface="+mn-lt"/>
              <a:ea typeface="+mn-ea"/>
              <a:cs typeface="+mn-cs"/>
            </a:rPr>
            <a:t>ventas</a:t>
          </a:r>
          <a:r>
            <a:rPr lang="es-AR" sz="1400" b="1" i="1">
              <a:latin typeface="+mn-lt"/>
            </a:rPr>
            <a:t> </a:t>
          </a:r>
          <a:r>
            <a:rPr lang="es-AR" sz="2000" b="1" i="1" u="none" strike="noStrike" kern="1200" cap="all" spc="120" normalizeH="0" baseline="0">
              <a:solidFill>
                <a:schemeClr val="bg1"/>
              </a:solidFill>
              <a:latin typeface="+mn-lt"/>
              <a:ea typeface="+mn-ea"/>
              <a:cs typeface="+mn-cs"/>
            </a:rPr>
            <a:t>2024</a:t>
          </a:r>
        </a:p>
      </xdr:txBody>
    </xdr:sp>
    <xdr:clientData/>
  </xdr:twoCellAnchor>
  <xdr:twoCellAnchor>
    <xdr:from>
      <xdr:col>21</xdr:col>
      <xdr:colOff>585107</xdr:colOff>
      <xdr:row>1</xdr:row>
      <xdr:rowOff>47225</xdr:rowOff>
    </xdr:from>
    <xdr:to>
      <xdr:col>28</xdr:col>
      <xdr:colOff>834117</xdr:colOff>
      <xdr:row>6</xdr:row>
      <xdr:rowOff>6403</xdr:rowOff>
    </xdr:to>
    <xdr:sp macro="" textlink="">
      <xdr:nvSpPr>
        <xdr:cNvPr id="16" name="Rectángulo: esquinas redondeadas 15">
          <a:extLst>
            <a:ext uri="{FF2B5EF4-FFF2-40B4-BE49-F238E27FC236}">
              <a16:creationId xmlns:a16="http://schemas.microsoft.com/office/drawing/2014/main" id="{AE5E6EFC-5FE5-A217-419E-A0DF830DB2FC}"/>
            </a:ext>
          </a:extLst>
        </xdr:cNvPr>
        <xdr:cNvSpPr/>
      </xdr:nvSpPr>
      <xdr:spPr>
        <a:xfrm>
          <a:off x="18696214" y="251332"/>
          <a:ext cx="6154510" cy="1061357"/>
        </a:xfrm>
        <a:prstGeom prst="roundRect">
          <a:avLst/>
        </a:prstGeom>
        <a:solidFill>
          <a:schemeClr val="bg2">
            <a:lumMod val="1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26</xdr:col>
      <xdr:colOff>579713</xdr:colOff>
      <xdr:row>8</xdr:row>
      <xdr:rowOff>196744</xdr:rowOff>
    </xdr:from>
    <xdr:to>
      <xdr:col>28</xdr:col>
      <xdr:colOff>812346</xdr:colOff>
      <xdr:row>13</xdr:row>
      <xdr:rowOff>51813</xdr:rowOff>
    </xdr:to>
    <xdr:sp macro="" textlink="'Tablas dinámicas'!F5">
      <xdr:nvSpPr>
        <xdr:cNvPr id="8" name="Rectángulo 7">
          <a:extLst>
            <a:ext uri="{FF2B5EF4-FFF2-40B4-BE49-F238E27FC236}">
              <a16:creationId xmlns:a16="http://schemas.microsoft.com/office/drawing/2014/main" id="{4EF21E92-CF30-466A-BF0D-F83E8988AB52}"/>
            </a:ext>
          </a:extLst>
        </xdr:cNvPr>
        <xdr:cNvSpPr/>
      </xdr:nvSpPr>
      <xdr:spPr>
        <a:xfrm>
          <a:off x="22909034" y="1938458"/>
          <a:ext cx="1919919" cy="943641"/>
        </a:xfrm>
        <a:prstGeom prst="rect">
          <a:avLst/>
        </a:prstGeom>
        <a:solidFill>
          <a:schemeClr val="tx1"/>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46E270FB-0EC8-4CA3-84C9-D221957C93A8}" type="TxLink">
            <a:rPr lang="en-US" sz="2400" b="0" i="0" u="none" strike="noStrike">
              <a:solidFill>
                <a:schemeClr val="bg1"/>
              </a:solidFill>
              <a:latin typeface="Gill Sans MT"/>
              <a:ea typeface="Calibri"/>
              <a:cs typeface="Calibri"/>
            </a:rPr>
            <a:pPr marL="0" indent="0" algn="ctr"/>
            <a:t>992</a:t>
          </a:fld>
          <a:endParaRPr lang="en-US" sz="2400" b="0" i="0" u="none" strike="noStrike">
            <a:solidFill>
              <a:schemeClr val="bg1"/>
            </a:solidFill>
            <a:latin typeface="Calibri"/>
            <a:ea typeface="Calibri"/>
            <a:cs typeface="Calibri"/>
          </a:endParaRPr>
        </a:p>
      </xdr:txBody>
    </xdr:sp>
    <xdr:clientData/>
  </xdr:twoCellAnchor>
  <xdr:twoCellAnchor>
    <xdr:from>
      <xdr:col>26</xdr:col>
      <xdr:colOff>593017</xdr:colOff>
      <xdr:row>15</xdr:row>
      <xdr:rowOff>45704</xdr:rowOff>
    </xdr:from>
    <xdr:to>
      <xdr:col>28</xdr:col>
      <xdr:colOff>824581</xdr:colOff>
      <xdr:row>19</xdr:row>
      <xdr:rowOff>115500</xdr:rowOff>
    </xdr:to>
    <xdr:sp macro="" textlink="'Tablas dinámicas'!B5">
      <xdr:nvSpPr>
        <xdr:cNvPr id="9" name="Rectángulo 8">
          <a:extLst>
            <a:ext uri="{FF2B5EF4-FFF2-40B4-BE49-F238E27FC236}">
              <a16:creationId xmlns:a16="http://schemas.microsoft.com/office/drawing/2014/main" id="{8E773D70-79A4-49F2-8195-05D8216D025A}"/>
            </a:ext>
          </a:extLst>
        </xdr:cNvPr>
        <xdr:cNvSpPr/>
      </xdr:nvSpPr>
      <xdr:spPr>
        <a:xfrm>
          <a:off x="22922338" y="3311418"/>
          <a:ext cx="1918850" cy="940653"/>
        </a:xfrm>
        <a:prstGeom prst="rect">
          <a:avLst/>
        </a:prstGeom>
        <a:solidFill>
          <a:schemeClr val="tx1"/>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9A840207-68FF-4293-9A76-90F9D0BAD421}" type="TxLink">
            <a:rPr lang="en-US" sz="2400" b="0" i="0" u="none" strike="noStrike">
              <a:solidFill>
                <a:schemeClr val="bg1"/>
              </a:solidFill>
              <a:latin typeface="Gill Sans MT"/>
              <a:ea typeface="Calibri"/>
              <a:cs typeface="Calibri"/>
            </a:rPr>
            <a:pPr marL="0" indent="0" algn="ctr"/>
            <a:t>500</a:t>
          </a:fld>
          <a:endParaRPr lang="en-US" sz="2400" b="0" i="0" u="none" strike="noStrike">
            <a:solidFill>
              <a:schemeClr val="bg1"/>
            </a:solidFill>
            <a:latin typeface="Calibri"/>
            <a:ea typeface="Calibri"/>
            <a:cs typeface="Calibri"/>
          </a:endParaRPr>
        </a:p>
      </xdr:txBody>
    </xdr:sp>
    <xdr:clientData/>
  </xdr:twoCellAnchor>
  <xdr:twoCellAnchor>
    <xdr:from>
      <xdr:col>26</xdr:col>
      <xdr:colOff>622737</xdr:colOff>
      <xdr:row>28</xdr:row>
      <xdr:rowOff>66974</xdr:rowOff>
    </xdr:from>
    <xdr:to>
      <xdr:col>29</xdr:col>
      <xdr:colOff>10658</xdr:colOff>
      <xdr:row>32</xdr:row>
      <xdr:rowOff>136770</xdr:rowOff>
    </xdr:to>
    <xdr:sp macro="" textlink="'Tablas dinámicas'!D5">
      <xdr:nvSpPr>
        <xdr:cNvPr id="10" name="Rectángulo 9">
          <a:extLst>
            <a:ext uri="{FF2B5EF4-FFF2-40B4-BE49-F238E27FC236}">
              <a16:creationId xmlns:a16="http://schemas.microsoft.com/office/drawing/2014/main" id="{4673E52B-6797-475C-A0E4-5DDEB0E1BEF3}"/>
            </a:ext>
          </a:extLst>
        </xdr:cNvPr>
        <xdr:cNvSpPr/>
      </xdr:nvSpPr>
      <xdr:spPr>
        <a:xfrm>
          <a:off x="22952058" y="6162974"/>
          <a:ext cx="1918850" cy="940653"/>
        </a:xfrm>
        <a:prstGeom prst="rect">
          <a:avLst/>
        </a:prstGeom>
        <a:solidFill>
          <a:schemeClr val="tx1"/>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47B9242F-579D-46B0-971E-BB84C7A9E3EC}" type="TxLink">
            <a:rPr lang="en-US" sz="2000" b="0" i="0" u="none" strike="noStrike">
              <a:solidFill>
                <a:schemeClr val="bg1"/>
              </a:solidFill>
              <a:latin typeface="Gill Sans MT"/>
              <a:ea typeface="Calibri"/>
              <a:cs typeface="Calibri"/>
            </a:rPr>
            <a:pPr marL="0" indent="0" algn="ctr"/>
            <a:t>$ 737.569.636</a:t>
          </a:fld>
          <a:endParaRPr lang="es-AR" sz="2000" b="0" i="0" u="none" strike="noStrike">
            <a:solidFill>
              <a:schemeClr val="bg1"/>
            </a:solidFill>
            <a:latin typeface="Calibri"/>
            <a:ea typeface="Calibri"/>
            <a:cs typeface="Calibri"/>
          </a:endParaRPr>
        </a:p>
      </xdr:txBody>
    </xdr:sp>
    <xdr:clientData/>
  </xdr:twoCellAnchor>
  <xdr:twoCellAnchor>
    <xdr:from>
      <xdr:col>26</xdr:col>
      <xdr:colOff>578190</xdr:colOff>
      <xdr:row>7</xdr:row>
      <xdr:rowOff>206267</xdr:rowOff>
    </xdr:from>
    <xdr:to>
      <xdr:col>28</xdr:col>
      <xdr:colOff>817145</xdr:colOff>
      <xdr:row>9</xdr:row>
      <xdr:rowOff>80614</xdr:rowOff>
    </xdr:to>
    <xdr:sp macro="" textlink="">
      <xdr:nvSpPr>
        <xdr:cNvPr id="12" name="Rectángulo 11">
          <a:extLst>
            <a:ext uri="{FF2B5EF4-FFF2-40B4-BE49-F238E27FC236}">
              <a16:creationId xmlns:a16="http://schemas.microsoft.com/office/drawing/2014/main" id="{B58C27D2-AA2D-4BB6-8FE4-47A7F248C2BC}"/>
            </a:ext>
          </a:extLst>
        </xdr:cNvPr>
        <xdr:cNvSpPr/>
      </xdr:nvSpPr>
      <xdr:spPr>
        <a:xfrm>
          <a:off x="22907511" y="1730267"/>
          <a:ext cx="1926241" cy="309776"/>
        </a:xfrm>
        <a:prstGeom prst="rect">
          <a:avLst/>
        </a:prstGeom>
        <a:solidFill>
          <a:schemeClr val="accent3"/>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800" b="1" i="0" u="none" strike="noStrike" kern="1200" cap="all" spc="120" normalizeH="0" baseline="0">
              <a:solidFill>
                <a:schemeClr val="bg1"/>
              </a:solidFill>
              <a:latin typeface="+mn-lt"/>
              <a:ea typeface="+mn-ea"/>
              <a:cs typeface="+mn-cs"/>
            </a:rPr>
            <a:t>Unidades</a:t>
          </a:r>
          <a:endParaRPr lang="en-US" sz="2000" b="1" i="0" u="none" strike="noStrike" kern="1200" cap="all" spc="120" normalizeH="0" baseline="0">
            <a:solidFill>
              <a:schemeClr val="bg1"/>
            </a:solidFill>
            <a:latin typeface="+mn-lt"/>
            <a:ea typeface="+mn-ea"/>
            <a:cs typeface="+mn-cs"/>
          </a:endParaRPr>
        </a:p>
      </xdr:txBody>
    </xdr:sp>
    <xdr:clientData/>
  </xdr:twoCellAnchor>
  <xdr:twoCellAnchor>
    <xdr:from>
      <xdr:col>26</xdr:col>
      <xdr:colOff>592567</xdr:colOff>
      <xdr:row>14</xdr:row>
      <xdr:rowOff>36177</xdr:rowOff>
    </xdr:from>
    <xdr:to>
      <xdr:col>28</xdr:col>
      <xdr:colOff>823488</xdr:colOff>
      <xdr:row>15</xdr:row>
      <xdr:rowOff>130513</xdr:rowOff>
    </xdr:to>
    <xdr:sp macro="" textlink="">
      <xdr:nvSpPr>
        <xdr:cNvPr id="13" name="Rectángulo 12">
          <a:extLst>
            <a:ext uri="{FF2B5EF4-FFF2-40B4-BE49-F238E27FC236}">
              <a16:creationId xmlns:a16="http://schemas.microsoft.com/office/drawing/2014/main" id="{6326FDB8-2ECE-4878-A7A0-42CB693200AD}"/>
            </a:ext>
          </a:extLst>
        </xdr:cNvPr>
        <xdr:cNvSpPr/>
      </xdr:nvSpPr>
      <xdr:spPr>
        <a:xfrm>
          <a:off x="22921888" y="3084177"/>
          <a:ext cx="1918207" cy="312050"/>
        </a:xfrm>
        <a:prstGeom prst="rect">
          <a:avLst/>
        </a:prstGeom>
        <a:solidFill>
          <a:schemeClr val="accent3"/>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800" b="1" i="0" u="none" strike="noStrike" kern="1200" cap="all" spc="120" normalizeH="0" baseline="0">
              <a:solidFill>
                <a:schemeClr val="bg1"/>
              </a:solidFill>
              <a:latin typeface="+mn-lt"/>
              <a:ea typeface="+mn-ea"/>
              <a:cs typeface="+mn-cs"/>
            </a:rPr>
            <a:t>Clientes</a:t>
          </a:r>
          <a:endParaRPr lang="en-US" sz="2000" b="1" i="0" u="none" strike="noStrike" kern="1200" cap="all" spc="120" normalizeH="0" baseline="0">
            <a:solidFill>
              <a:schemeClr val="bg1"/>
            </a:solidFill>
            <a:latin typeface="+mn-lt"/>
            <a:ea typeface="+mn-ea"/>
            <a:cs typeface="+mn-cs"/>
          </a:endParaRPr>
        </a:p>
      </xdr:txBody>
    </xdr:sp>
    <xdr:clientData/>
  </xdr:twoCellAnchor>
  <xdr:twoCellAnchor>
    <xdr:from>
      <xdr:col>26</xdr:col>
      <xdr:colOff>623374</xdr:colOff>
      <xdr:row>27</xdr:row>
      <xdr:rowOff>56944</xdr:rowOff>
    </xdr:from>
    <xdr:to>
      <xdr:col>29</xdr:col>
      <xdr:colOff>10652</xdr:colOff>
      <xdr:row>28</xdr:row>
      <xdr:rowOff>151280</xdr:rowOff>
    </xdr:to>
    <xdr:sp macro="" textlink="">
      <xdr:nvSpPr>
        <xdr:cNvPr id="14" name="Rectángulo 13">
          <a:extLst>
            <a:ext uri="{FF2B5EF4-FFF2-40B4-BE49-F238E27FC236}">
              <a16:creationId xmlns:a16="http://schemas.microsoft.com/office/drawing/2014/main" id="{B1DF5F0D-A9A0-4EC1-A105-147ED934C684}"/>
            </a:ext>
          </a:extLst>
        </xdr:cNvPr>
        <xdr:cNvSpPr/>
      </xdr:nvSpPr>
      <xdr:spPr>
        <a:xfrm>
          <a:off x="22952695" y="5935230"/>
          <a:ext cx="1918207" cy="312050"/>
        </a:xfrm>
        <a:prstGeom prst="rect">
          <a:avLst/>
        </a:prstGeom>
        <a:solidFill>
          <a:schemeClr val="accent3"/>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800" b="1" i="0" u="none" strike="noStrike" kern="1200" cap="all" spc="120" normalizeH="0" baseline="0">
              <a:solidFill>
                <a:schemeClr val="bg1"/>
              </a:solidFill>
              <a:latin typeface="+mn-lt"/>
              <a:ea typeface="+mn-ea"/>
              <a:cs typeface="+mn-cs"/>
            </a:rPr>
            <a:t>Ingresos</a:t>
          </a:r>
          <a:endParaRPr lang="en-US" sz="2000" b="1" i="0" u="none" strike="noStrike" kern="1200" cap="all" spc="120" normalizeH="0" baseline="0">
            <a:solidFill>
              <a:schemeClr val="bg1"/>
            </a:solidFill>
            <a:latin typeface="+mn-lt"/>
            <a:ea typeface="+mn-ea"/>
            <a:cs typeface="+mn-cs"/>
          </a:endParaRPr>
        </a:p>
      </xdr:txBody>
    </xdr:sp>
    <xdr:clientData/>
  </xdr:twoCellAnchor>
  <xdr:twoCellAnchor>
    <xdr:from>
      <xdr:col>26</xdr:col>
      <xdr:colOff>611009</xdr:colOff>
      <xdr:row>21</xdr:row>
      <xdr:rowOff>111019</xdr:rowOff>
    </xdr:from>
    <xdr:to>
      <xdr:col>28</xdr:col>
      <xdr:colOff>843642</xdr:colOff>
      <xdr:row>25</xdr:row>
      <xdr:rowOff>177400</xdr:rowOff>
    </xdr:to>
    <xdr:sp macro="" textlink="'Tablas dinámicas'!H5">
      <xdr:nvSpPr>
        <xdr:cNvPr id="28" name="Rectángulo 27">
          <a:extLst>
            <a:ext uri="{FF2B5EF4-FFF2-40B4-BE49-F238E27FC236}">
              <a16:creationId xmlns:a16="http://schemas.microsoft.com/office/drawing/2014/main" id="{6E01E965-913E-4A1C-A6DD-534174D43837}"/>
            </a:ext>
          </a:extLst>
        </xdr:cNvPr>
        <xdr:cNvSpPr/>
      </xdr:nvSpPr>
      <xdr:spPr>
        <a:xfrm>
          <a:off x="22940330" y="4683019"/>
          <a:ext cx="1919919" cy="937238"/>
        </a:xfrm>
        <a:prstGeom prst="rect">
          <a:avLst/>
        </a:prstGeom>
        <a:solidFill>
          <a:schemeClr val="tx1"/>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65BEA03B-DF73-49C6-9572-FFB588ED3264}" type="TxLink">
            <a:rPr lang="en-US" sz="2400" b="0" i="0" u="none" strike="noStrike">
              <a:solidFill>
                <a:schemeClr val="bg1"/>
              </a:solidFill>
              <a:latin typeface="Gill Sans MT"/>
              <a:ea typeface="Calibri"/>
              <a:cs typeface="Calibri"/>
            </a:rPr>
            <a:pPr marL="0" indent="0" algn="ctr"/>
            <a:t>1,98</a:t>
          </a:fld>
          <a:endParaRPr lang="es-AR" sz="2400" b="0" i="0" u="none" strike="noStrike">
            <a:solidFill>
              <a:schemeClr val="bg1"/>
            </a:solidFill>
            <a:latin typeface="Calibri"/>
            <a:ea typeface="Calibri"/>
            <a:cs typeface="Calibri"/>
          </a:endParaRPr>
        </a:p>
      </xdr:txBody>
    </xdr:sp>
    <xdr:clientData/>
  </xdr:twoCellAnchor>
  <xdr:twoCellAnchor>
    <xdr:from>
      <xdr:col>26</xdr:col>
      <xdr:colOff>608113</xdr:colOff>
      <xdr:row>20</xdr:row>
      <xdr:rowOff>120542</xdr:rowOff>
    </xdr:from>
    <xdr:to>
      <xdr:col>28</xdr:col>
      <xdr:colOff>843181</xdr:colOff>
      <xdr:row>21</xdr:row>
      <xdr:rowOff>212604</xdr:rowOff>
    </xdr:to>
    <xdr:sp macro="" textlink="">
      <xdr:nvSpPr>
        <xdr:cNvPr id="33" name="Rectángulo 32">
          <a:extLst>
            <a:ext uri="{FF2B5EF4-FFF2-40B4-BE49-F238E27FC236}">
              <a16:creationId xmlns:a16="http://schemas.microsoft.com/office/drawing/2014/main" id="{ADA4644B-099D-41B6-8D7A-4F433C6ACB28}"/>
            </a:ext>
          </a:extLst>
        </xdr:cNvPr>
        <xdr:cNvSpPr/>
      </xdr:nvSpPr>
      <xdr:spPr>
        <a:xfrm>
          <a:off x="22937434" y="4474828"/>
          <a:ext cx="1922354" cy="309776"/>
        </a:xfrm>
        <a:prstGeom prst="rect">
          <a:avLst/>
        </a:prstGeom>
        <a:solidFill>
          <a:schemeClr val="accent3"/>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800" b="1" i="0" u="none" strike="noStrike" kern="1200" cap="all" spc="120" normalizeH="0" baseline="0">
              <a:solidFill>
                <a:schemeClr val="bg1"/>
              </a:solidFill>
              <a:latin typeface="+mn-lt"/>
              <a:ea typeface="+mn-ea"/>
              <a:cs typeface="+mn-cs"/>
            </a:rPr>
            <a:t>Promedio</a:t>
          </a:r>
          <a:r>
            <a:rPr lang="en-US" sz="1050" b="0" i="0">
              <a:solidFill>
                <a:schemeClr val="dk1"/>
              </a:solidFill>
              <a:effectLst/>
              <a:latin typeface="+mn-lt"/>
              <a:ea typeface="+mn-ea"/>
              <a:cs typeface="+mn-cs"/>
            </a:rPr>
            <a:t> </a:t>
          </a:r>
          <a:endParaRPr lang="es-AR" sz="1800" b="1" i="0" u="none" strike="noStrike" kern="1200" cap="all" spc="120" normalizeH="0" baseline="0">
            <a:solidFill>
              <a:schemeClr val="bg1"/>
            </a:solidFill>
            <a:latin typeface="+mn-lt"/>
            <a:ea typeface="+mn-ea"/>
            <a:cs typeface="+mn-cs"/>
          </a:endParaRPr>
        </a:p>
      </xdr:txBody>
    </xdr:sp>
    <xdr:clientData/>
  </xdr:twoCellAnchor>
  <xdr:twoCellAnchor>
    <xdr:from>
      <xdr:col>3</xdr:col>
      <xdr:colOff>480830</xdr:colOff>
      <xdr:row>5</xdr:row>
      <xdr:rowOff>1</xdr:rowOff>
    </xdr:from>
    <xdr:to>
      <xdr:col>12</xdr:col>
      <xdr:colOff>712151</xdr:colOff>
      <xdr:row>29</xdr:row>
      <xdr:rowOff>124386</xdr:rowOff>
    </xdr:to>
    <xdr:graphicFrame macro="">
      <xdr:nvGraphicFramePr>
        <xdr:cNvPr id="3" name="Gráfico 2">
          <a:extLst>
            <a:ext uri="{FF2B5EF4-FFF2-40B4-BE49-F238E27FC236}">
              <a16:creationId xmlns:a16="http://schemas.microsoft.com/office/drawing/2014/main" id="{729D31CE-AA70-4445-93DE-CC186205BE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813864</xdr:colOff>
      <xdr:row>30</xdr:row>
      <xdr:rowOff>0</xdr:rowOff>
    </xdr:from>
    <xdr:to>
      <xdr:col>11</xdr:col>
      <xdr:colOff>653142</xdr:colOff>
      <xdr:row>56</xdr:row>
      <xdr:rowOff>0</xdr:rowOff>
    </xdr:to>
    <xdr:graphicFrame macro="">
      <xdr:nvGraphicFramePr>
        <xdr:cNvPr id="15" name="Gráfico 14">
          <a:extLst>
            <a:ext uri="{FF2B5EF4-FFF2-40B4-BE49-F238E27FC236}">
              <a16:creationId xmlns:a16="http://schemas.microsoft.com/office/drawing/2014/main" id="{BCE21438-8C93-4AC0-87B7-9E2120003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187945</xdr:colOff>
      <xdr:row>5</xdr:row>
      <xdr:rowOff>61790</xdr:rowOff>
    </xdr:from>
    <xdr:to>
      <xdr:col>26</xdr:col>
      <xdr:colOff>432875</xdr:colOff>
      <xdr:row>29</xdr:row>
      <xdr:rowOff>124386</xdr:rowOff>
    </xdr:to>
    <xdr:graphicFrame macro="">
      <xdr:nvGraphicFramePr>
        <xdr:cNvPr id="19" name="Gráfico 18">
          <a:extLst>
            <a:ext uri="{FF2B5EF4-FFF2-40B4-BE49-F238E27FC236}">
              <a16:creationId xmlns:a16="http://schemas.microsoft.com/office/drawing/2014/main" id="{9C81C8A2-0D78-4163-A35C-7A9DA98F2A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30</xdr:row>
      <xdr:rowOff>0</xdr:rowOff>
    </xdr:from>
    <xdr:to>
      <xdr:col>29</xdr:col>
      <xdr:colOff>0</xdr:colOff>
      <xdr:row>56</xdr:row>
      <xdr:rowOff>0</xdr:rowOff>
    </xdr:to>
    <xdr:graphicFrame macro="">
      <xdr:nvGraphicFramePr>
        <xdr:cNvPr id="22" name="Gráfico 21">
          <a:extLst>
            <a:ext uri="{FF2B5EF4-FFF2-40B4-BE49-F238E27FC236}">
              <a16:creationId xmlns:a16="http://schemas.microsoft.com/office/drawing/2014/main" id="{286C5224-80FF-4690-9B3C-E07D1492B2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333789</xdr:colOff>
      <xdr:row>6</xdr:row>
      <xdr:rowOff>29441</xdr:rowOff>
    </xdr:from>
    <xdr:to>
      <xdr:col>2</xdr:col>
      <xdr:colOff>775607</xdr:colOff>
      <xdr:row>15</xdr:row>
      <xdr:rowOff>0</xdr:rowOff>
    </xdr:to>
    <mc:AlternateContent xmlns:mc="http://schemas.openxmlformats.org/markup-compatibility/2006" xmlns:a14="http://schemas.microsoft.com/office/drawing/2010/main">
      <mc:Choice Requires="a14">
        <xdr:graphicFrame macro="">
          <xdr:nvGraphicFramePr>
            <xdr:cNvPr id="23" name="Categoría">
              <a:extLst>
                <a:ext uri="{FF2B5EF4-FFF2-40B4-BE49-F238E27FC236}">
                  <a16:creationId xmlns:a16="http://schemas.microsoft.com/office/drawing/2014/main" id="{56136146-8847-4FC2-AC12-B048A580599E}"/>
                </a:ext>
              </a:extLst>
            </xdr:cNvPr>
            <xdr:cNvGraphicFramePr/>
          </xdr:nvGraphicFramePr>
          <xdr:xfrm>
            <a:off x="0" y="0"/>
            <a:ext cx="0" cy="0"/>
          </xdr:xfrm>
          <a:graphic>
            <a:graphicData uri="http://schemas.microsoft.com/office/drawing/2010/slicer">
              <sle:slicer xmlns:sle="http://schemas.microsoft.com/office/drawing/2010/slicer" name="Categoría"/>
            </a:graphicData>
          </a:graphic>
        </xdr:graphicFrame>
      </mc:Choice>
      <mc:Fallback xmlns="">
        <xdr:sp macro="" textlink="">
          <xdr:nvSpPr>
            <xdr:cNvPr id="0" name=""/>
            <xdr:cNvSpPr>
              <a:spLocks noTextEdit="1"/>
            </xdr:cNvSpPr>
          </xdr:nvSpPr>
          <xdr:spPr>
            <a:xfrm>
              <a:off x="333789" y="1362941"/>
              <a:ext cx="2520000" cy="1996786"/>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373396</xdr:colOff>
      <xdr:row>18</xdr:row>
      <xdr:rowOff>46614</xdr:rowOff>
    </xdr:from>
    <xdr:to>
      <xdr:col>2</xdr:col>
      <xdr:colOff>813864</xdr:colOff>
      <xdr:row>47</xdr:row>
      <xdr:rowOff>212004</xdr:rowOff>
    </xdr:to>
    <mc:AlternateContent xmlns:mc="http://schemas.openxmlformats.org/markup-compatibility/2006" xmlns:a14="http://schemas.microsoft.com/office/drawing/2010/main">
      <mc:Choice Requires="a14">
        <xdr:graphicFrame macro="">
          <xdr:nvGraphicFramePr>
            <xdr:cNvPr id="24" name="Ubicación">
              <a:extLst>
                <a:ext uri="{FF2B5EF4-FFF2-40B4-BE49-F238E27FC236}">
                  <a16:creationId xmlns:a16="http://schemas.microsoft.com/office/drawing/2014/main" id="{46BCA970-D57C-4D34-8F3B-58F8F2999896}"/>
                </a:ext>
              </a:extLst>
            </xdr:cNvPr>
            <xdr:cNvGraphicFramePr/>
          </xdr:nvGraphicFramePr>
          <xdr:xfrm>
            <a:off x="0" y="0"/>
            <a:ext cx="0" cy="0"/>
          </xdr:xfrm>
          <a:graphic>
            <a:graphicData uri="http://schemas.microsoft.com/office/drawing/2010/slicer">
              <sle:slicer xmlns:sle="http://schemas.microsoft.com/office/drawing/2010/slicer" name="Ubicación"/>
            </a:graphicData>
          </a:graphic>
        </xdr:graphicFrame>
      </mc:Choice>
      <mc:Fallback xmlns="">
        <xdr:sp macro="" textlink="">
          <xdr:nvSpPr>
            <xdr:cNvPr id="0" name=""/>
            <xdr:cNvSpPr>
              <a:spLocks noTextEdit="1"/>
            </xdr:cNvSpPr>
          </xdr:nvSpPr>
          <xdr:spPr>
            <a:xfrm>
              <a:off x="373396" y="3965471"/>
              <a:ext cx="2522361" cy="6479104"/>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21</xdr:col>
      <xdr:colOff>666750</xdr:colOff>
      <xdr:row>1</xdr:row>
      <xdr:rowOff>136071</xdr:rowOff>
    </xdr:from>
    <xdr:to>
      <xdr:col>28</xdr:col>
      <xdr:colOff>748393</xdr:colOff>
      <xdr:row>5</xdr:row>
      <xdr:rowOff>108857</xdr:rowOff>
    </xdr:to>
    <mc:AlternateContent xmlns:mc="http://schemas.openxmlformats.org/markup-compatibility/2006" xmlns:tsle="http://schemas.microsoft.com/office/drawing/2012/timeslicer">
      <mc:Choice Requires="tsle">
        <xdr:graphicFrame macro="">
          <xdr:nvGraphicFramePr>
            <xdr:cNvPr id="25" name="Fecha_venta">
              <a:extLst>
                <a:ext uri="{FF2B5EF4-FFF2-40B4-BE49-F238E27FC236}">
                  <a16:creationId xmlns:a16="http://schemas.microsoft.com/office/drawing/2014/main" id="{B2907FCB-F64C-4DA0-80D2-54CCE1E62670}"/>
                </a:ext>
              </a:extLst>
            </xdr:cNvPr>
            <xdr:cNvGraphicFramePr/>
          </xdr:nvGraphicFramePr>
          <xdr:xfrm>
            <a:off x="0" y="0"/>
            <a:ext cx="0" cy="0"/>
          </xdr:xfrm>
          <a:graphic>
            <a:graphicData uri="http://schemas.microsoft.com/office/drawing/2012/timeslicer">
              <tsle:timeslicer name="Fecha_venta"/>
            </a:graphicData>
          </a:graphic>
        </xdr:graphicFrame>
      </mc:Choice>
      <mc:Fallback xmlns="">
        <xdr:sp macro="" textlink="">
          <xdr:nvSpPr>
            <xdr:cNvPr id="0" name=""/>
            <xdr:cNvSpPr>
              <a:spLocks noTextEdit="1"/>
            </xdr:cNvSpPr>
          </xdr:nvSpPr>
          <xdr:spPr>
            <a:xfrm>
              <a:off x="18777857" y="340178"/>
              <a:ext cx="5987143" cy="857250"/>
            </a:xfrm>
            <a:prstGeom prst="rect">
              <a:avLst/>
            </a:prstGeom>
            <a:solidFill>
              <a:prstClr val="white"/>
            </a:solidFill>
            <a:ln w="1">
              <a:solidFill>
                <a:prstClr val="green"/>
              </a:solidFill>
            </a:ln>
          </xdr:spPr>
          <xdr:txBody>
            <a:bodyPr vertOverflow="clip" horzOverflow="clip"/>
            <a:lstStyle/>
            <a:p>
              <a:r>
                <a:rPr lang="es-AR" sz="1100"/>
                <a:t>Línea de tiempo: Funciona en Excel 2013 o superior. No mover ni cambiar el tamaño.</a:t>
              </a:r>
            </a:p>
          </xdr:txBody>
        </xdr:sp>
      </mc:Fallback>
    </mc:AlternateContent>
    <xdr:clientData/>
  </xdr:twoCellAnchor>
  <xdr:twoCellAnchor>
    <xdr:from>
      <xdr:col>0</xdr:col>
      <xdr:colOff>180700</xdr:colOff>
      <xdr:row>15</xdr:row>
      <xdr:rowOff>182023</xdr:rowOff>
    </xdr:from>
    <xdr:to>
      <xdr:col>3</xdr:col>
      <xdr:colOff>93645</xdr:colOff>
      <xdr:row>18</xdr:row>
      <xdr:rowOff>46614</xdr:rowOff>
    </xdr:to>
    <xdr:sp macro="" textlink="">
      <xdr:nvSpPr>
        <xdr:cNvPr id="21" name="Rectángulo: esquinas redondeadas 20">
          <a:extLst>
            <a:ext uri="{FF2B5EF4-FFF2-40B4-BE49-F238E27FC236}">
              <a16:creationId xmlns:a16="http://schemas.microsoft.com/office/drawing/2014/main" id="{7321207A-D491-4232-B36A-31D42558B32C}"/>
            </a:ext>
          </a:extLst>
        </xdr:cNvPr>
        <xdr:cNvSpPr/>
      </xdr:nvSpPr>
      <xdr:spPr>
        <a:xfrm>
          <a:off x="180700" y="3447737"/>
          <a:ext cx="2838481" cy="517734"/>
        </a:xfrm>
        <a:prstGeom prst="roundRect">
          <a:avLst/>
        </a:prstGeom>
        <a:solidFill>
          <a:schemeClr val="accent3"/>
        </a:solidFill>
        <a:ln>
          <a:solidFill>
            <a:schemeClr val="accent3"/>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s-AR" sz="2000" b="1" i="0" u="none" strike="noStrike" kern="1200" cap="all" spc="120" normalizeH="0" baseline="0">
              <a:solidFill>
                <a:schemeClr val="bg1"/>
              </a:solidFill>
              <a:latin typeface="+mn-lt"/>
              <a:ea typeface="+mn-ea"/>
              <a:cs typeface="+mn-cs"/>
            </a:rPr>
            <a:t>ubicación</a:t>
          </a:r>
        </a:p>
        <a:p>
          <a:pPr marL="0" indent="0" algn="ctr"/>
          <a:endParaRPr lang="es-AR" sz="2000" b="1" i="0" u="none" strike="noStrike" kern="1200" cap="all" spc="120" normalizeH="0" baseline="0">
            <a:solidFill>
              <a:schemeClr val="bg1"/>
            </a:solidFill>
            <a:latin typeface="+mn-lt"/>
            <a:ea typeface="+mn-ea"/>
            <a:cs typeface="+mn-cs"/>
          </a:endParaRPr>
        </a:p>
        <a:p>
          <a:pPr marL="0" indent="0" algn="ctr"/>
          <a:endParaRPr lang="es-AR" sz="2000" b="1" i="0" u="none" strike="noStrike" kern="1200" cap="all" spc="120" normalizeH="0" baseline="0">
            <a:solidFill>
              <a:schemeClr val="bg1"/>
            </a:solidFill>
            <a:latin typeface="+mn-lt"/>
            <a:ea typeface="+mn-ea"/>
            <a:cs typeface="+mn-cs"/>
          </a:endParaRPr>
        </a:p>
      </xdr:txBody>
    </xdr:sp>
    <xdr:clientData/>
  </xdr:twoCellAnchor>
  <xdr:twoCellAnchor>
    <xdr:from>
      <xdr:col>0</xdr:col>
      <xdr:colOff>143453</xdr:colOff>
      <xdr:row>3</xdr:row>
      <xdr:rowOff>164850</xdr:rowOff>
    </xdr:from>
    <xdr:to>
      <xdr:col>3</xdr:col>
      <xdr:colOff>57975</xdr:colOff>
      <xdr:row>6</xdr:row>
      <xdr:rowOff>29441</xdr:rowOff>
    </xdr:to>
    <xdr:sp macro="" textlink="">
      <xdr:nvSpPr>
        <xdr:cNvPr id="36" name="Rectángulo: esquinas redondeadas 35">
          <a:extLst>
            <a:ext uri="{FF2B5EF4-FFF2-40B4-BE49-F238E27FC236}">
              <a16:creationId xmlns:a16="http://schemas.microsoft.com/office/drawing/2014/main" id="{F4A0A3CF-54CE-4971-BC8A-8FBD50756B3E}"/>
            </a:ext>
          </a:extLst>
        </xdr:cNvPr>
        <xdr:cNvSpPr/>
      </xdr:nvSpPr>
      <xdr:spPr>
        <a:xfrm>
          <a:off x="143453" y="822941"/>
          <a:ext cx="2823977" cy="540000"/>
        </a:xfrm>
        <a:prstGeom prst="roundRect">
          <a:avLst/>
        </a:prstGeom>
        <a:solidFill>
          <a:schemeClr val="accent3"/>
        </a:solidFill>
        <a:ln>
          <a:solidFill>
            <a:schemeClr val="accent3"/>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s-AR" sz="2000" b="1" i="0" u="none" strike="noStrike" kern="1200" cap="all" spc="120" normalizeH="0" baseline="0">
              <a:solidFill>
                <a:schemeClr val="bg1"/>
              </a:solidFill>
              <a:latin typeface="+mn-lt"/>
              <a:ea typeface="+mn-ea"/>
              <a:cs typeface="+mn-cs"/>
            </a:rPr>
            <a:t>cATEGORÍA</a:t>
          </a:r>
        </a:p>
        <a:p>
          <a:pPr marL="0" indent="0" algn="ctr"/>
          <a:endParaRPr lang="es-AR" sz="2000" b="1" i="0" u="none" strike="noStrike" kern="1200" cap="all" spc="120" normalizeH="0" baseline="0">
            <a:solidFill>
              <a:schemeClr val="bg1"/>
            </a:solidFill>
            <a:latin typeface="+mn-lt"/>
            <a:ea typeface="+mn-ea"/>
            <a:cs typeface="+mn-cs"/>
          </a:endParaRPr>
        </a:p>
      </xdr:txBody>
    </xdr:sp>
    <xdr:clientData/>
  </xdr:twoCellAnchor>
  <xdr:twoCellAnchor>
    <xdr:from>
      <xdr:col>0</xdr:col>
      <xdr:colOff>671698</xdr:colOff>
      <xdr:row>0</xdr:row>
      <xdr:rowOff>177690</xdr:rowOff>
    </xdr:from>
    <xdr:to>
      <xdr:col>2</xdr:col>
      <xdr:colOff>217116</xdr:colOff>
      <xdr:row>2</xdr:row>
      <xdr:rowOff>47135</xdr:rowOff>
    </xdr:to>
    <xdr:sp macro="[0]!Redireccionamiento_Índice" textlink="">
      <xdr:nvSpPr>
        <xdr:cNvPr id="4" name="Rectángulo: esquinas redondeadas 3">
          <a:extLst>
            <a:ext uri="{FF2B5EF4-FFF2-40B4-BE49-F238E27FC236}">
              <a16:creationId xmlns:a16="http://schemas.microsoft.com/office/drawing/2014/main" id="{846CE439-1463-438B-853C-00FFAA62F968}"/>
            </a:ext>
          </a:extLst>
        </xdr:cNvPr>
        <xdr:cNvSpPr/>
      </xdr:nvSpPr>
      <xdr:spPr>
        <a:xfrm>
          <a:off x="671698" y="177690"/>
          <a:ext cx="1623600" cy="302400"/>
        </a:xfrm>
        <a:prstGeom prst="roundRect">
          <a:avLst/>
        </a:prstGeom>
        <a:solidFill>
          <a:schemeClr val="accent3"/>
        </a:solidFill>
        <a:ln>
          <a:solidFill>
            <a:schemeClr val="accent3"/>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s-AR" sz="1000" b="1" i="0" u="none" strike="noStrike" kern="1200" cap="all" spc="120" normalizeH="0" baseline="0">
              <a:solidFill>
                <a:schemeClr val="bg1"/>
              </a:solidFill>
              <a:latin typeface="+mn-lt"/>
              <a:ea typeface="+mn-ea"/>
              <a:cs typeface="+mn-cs"/>
            </a:rPr>
            <a:t> índice</a:t>
          </a:r>
        </a:p>
        <a:p>
          <a:pPr marL="0" indent="0" algn="ctr"/>
          <a:endParaRPr lang="es-AR" sz="1000" b="1" i="0" u="none" strike="noStrike" kern="1200" cap="all" spc="120" normalizeH="0" baseline="0">
            <a:solidFill>
              <a:schemeClr val="bg1"/>
            </a:solidFill>
            <a:latin typeface="+mn-lt"/>
            <a:ea typeface="+mn-ea"/>
            <a:cs typeface="+mn-cs"/>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8.400408680558" backgroundQuery="1" createdVersion="8" refreshedVersion="8" minRefreshableVersion="3" recordCount="0" supportSubquery="1" supportAdvancedDrill="1" xr:uid="{87A038BD-EFEC-4C77-9796-D60682023BA1}">
  <cacheSource type="external" connectionId="10"/>
  <cacheFields count="4">
    <cacheField name="[Measures].[Suma de Cantidad_vendida]" caption="Suma de Cantidad_vendida" numFmtId="0" hierarchy="19" level="32767"/>
    <cacheField name="[Base_ventas].[Fecha_venta (mes)].[Fecha_venta (mes)]" caption="Fecha_venta (mes)" numFmtId="0" hierarchy="13" level="1">
      <sharedItems count="12">
        <s v="ene"/>
        <s v="feb"/>
        <s v="mar"/>
        <s v="abr"/>
        <s v="may"/>
        <s v="jun"/>
        <s v="jul"/>
        <s v="ago"/>
        <s v="sept"/>
        <s v="oct"/>
        <s v="nov"/>
        <s v="dic"/>
      </sharedItems>
    </cacheField>
    <cacheField name="[Base_ventas].[Fecha_venta].[Fecha_venta]" caption="Fecha_venta" numFmtId="0" hierarchy="2" level="1">
      <sharedItems containsSemiMixedTypes="0" containsNonDate="0" containsString="0"/>
    </cacheField>
    <cacheField name="[Base_ventas].[Categoría].[Categoría]" caption="Categoría" numFmtId="0" hierarchy="4" level="1">
      <sharedItems containsSemiMixedTypes="0" containsNonDate="0" containsString="0"/>
    </cacheField>
  </cacheFields>
  <cacheHierarchies count="27">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2" memberValueDatatype="7" unbalanced="0">
      <fieldsUsage count="2">
        <fieldUsage x="-1"/>
        <fieldUsage x="2"/>
      </fieldsUsage>
    </cacheHierarchy>
    <cacheHierarchy uniqueName="[Base_ventas].[Producto]" caption="Producto" attribute="1" defaultMemberUniqueName="[Base_ventas].[Producto].[All]" allUniqueName="[Base_ventas].[Producto].[All]" dimensionUniqueName="[Base_ventas]" displayFolder="" count="0" memberValueDatatype="130" unbalanced="0"/>
    <cacheHierarchy uniqueName="[Base_ventas].[Categoría]" caption="Categoría" attribute="1" defaultMemberUniqueName="[Base_ventas].[Categoría].[All]" allUniqueName="[Base_ventas].[Categoría].[All]" dimensionUniqueName="[Base_ventas]" displayFolder="" count="2" memberValueDatatype="130" unbalanced="0">
      <fieldsUsage count="2">
        <fieldUsage x="-1"/>
        <fieldUsage x="3"/>
      </fieldsUsage>
    </cacheHierarchy>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2" memberValueDatatype="130" unbalanced="0"/>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2" memberValueDatatype="130" unbalanced="0">
      <fieldsUsage count="2">
        <fieldUsage x="-1"/>
        <fieldUsage x="1"/>
      </fieldsUsage>
    </cacheHierarchy>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hidden="1">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oneField="1" hidden="1">
      <fieldsUsage count="1">
        <fieldUsage x="0"/>
      </fieldsUsage>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hidden="1">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y uniqueName="[Measures].[Recuento de Producto]" caption="Recuento de Producto" measure="1" displayFolder="" measureGroup="Base_ventas" count="0" hidden="1">
      <extLst>
        <ext xmlns:x15="http://schemas.microsoft.com/office/spreadsheetml/2010/11/main" uri="{B97F6D7D-B522-45F9-BDA1-12C45D357490}">
          <x15:cacheHierarchy aggregatedColumn="3"/>
        </ext>
      </extLst>
    </cacheHierarchy>
  </cacheHierarchies>
  <kpis count="0"/>
  <dimensions count="2">
    <dimension name="Base_ventas" uniqueName="[Base_ventas]" caption="Base_ventas"/>
    <dimension measure="1" name="Measures" uniqueName="[Measures]" caption="Measures"/>
  </dimensions>
  <measureGroups count="1">
    <measureGroup name="Base_ventas" caption="Base_venta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8.400408796297" backgroundQuery="1" createdVersion="8" refreshedVersion="8" minRefreshableVersion="3" recordCount="0" supportSubquery="1" supportAdvancedDrill="1" xr:uid="{7B75479E-DFFE-48CA-BB0B-E2B36294138E}">
  <cacheSource type="external" connectionId="10"/>
  <cacheFields count="3">
    <cacheField name="[Measures].[Recuento de ID_venta]" caption="Recuento de ID_venta" numFmtId="0" hierarchy="23" level="32767"/>
    <cacheField name="[Base_ventas].[Fecha_venta].[Fecha_venta]" caption="Fecha_venta" numFmtId="0" hierarchy="2" level="1">
      <sharedItems containsSemiMixedTypes="0" containsNonDate="0" containsString="0"/>
    </cacheField>
    <cacheField name="[Base_ventas].[Categoría].[Categoría]" caption="Categoría" numFmtId="0" hierarchy="4" level="1">
      <sharedItems containsSemiMixedTypes="0" containsNonDate="0" containsString="0"/>
    </cacheField>
  </cacheFields>
  <cacheHierarchies count="27">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2" memberValueDatatype="7" unbalanced="0">
      <fieldsUsage count="2">
        <fieldUsage x="-1"/>
        <fieldUsage x="1"/>
      </fieldsUsage>
    </cacheHierarchy>
    <cacheHierarchy uniqueName="[Base_ventas].[Producto]" caption="Producto" attribute="1" defaultMemberUniqueName="[Base_ventas].[Producto].[All]" allUniqueName="[Base_ventas].[Producto].[All]" dimensionUniqueName="[Base_ventas]" displayFolder="" count="0" memberValueDatatype="130" unbalanced="0"/>
    <cacheHierarchy uniqueName="[Base_ventas].[Categoría]" caption="Categoría" attribute="1" defaultMemberUniqueName="[Base_ventas].[Categoría].[All]" allUniqueName="[Base_ventas].[Categoría].[All]" dimensionUniqueName="[Base_ventas]" displayFolder="" count="2" memberValueDatatype="130" unbalanced="0">
      <fieldsUsage count="2">
        <fieldUsage x="-1"/>
        <fieldUsage x="2"/>
      </fieldsUsage>
    </cacheHierarchy>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2" memberValueDatatype="130" unbalanced="0"/>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0" memberValueDatatype="130" unbalanced="0"/>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hidden="1">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oneField="1" hidden="1">
      <fieldsUsage count="1">
        <fieldUsage x="0"/>
      </fieldsUsage>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y uniqueName="[Measures].[Recuento de Producto]" caption="Recuento de Producto" measure="1" displayFolder="" measureGroup="Base_ventas" count="0" hidden="1">
      <extLst>
        <ext xmlns:x15="http://schemas.microsoft.com/office/spreadsheetml/2010/11/main" uri="{B97F6D7D-B522-45F9-BDA1-12C45D357490}">
          <x15:cacheHierarchy aggregatedColumn="3"/>
        </ext>
      </extLst>
    </cacheHierarchy>
  </cacheHierarchies>
  <kpis count="0"/>
  <dimensions count="2">
    <dimension name="Base_ventas" uniqueName="[Base_ventas]" caption="Base_ventas"/>
    <dimension measure="1" name="Measures" uniqueName="[Measures]" caption="Measures"/>
  </dimensions>
  <measureGroups count="1">
    <measureGroup name="Base_ventas" caption="Base_venta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8.400408796297" backgroundQuery="1" createdVersion="8" refreshedVersion="8" minRefreshableVersion="3" recordCount="0" supportSubquery="1" supportAdvancedDrill="1" xr:uid="{5EC6CF13-5EFA-4D71-B124-E9714A5841F1}">
  <cacheSource type="external" connectionId="10"/>
  <cacheFields count="3">
    <cacheField name="[Measures].[Suma de Total_venta]" caption="Suma de Total_venta" numFmtId="0" hierarchy="18" level="32767"/>
    <cacheField name="[Base_ventas].[Fecha_venta].[Fecha_venta]" caption="Fecha_venta" numFmtId="0" hierarchy="2" level="1">
      <sharedItems containsSemiMixedTypes="0" containsNonDate="0" containsString="0"/>
    </cacheField>
    <cacheField name="[Base_ventas].[Categoría].[Categoría]" caption="Categoría" numFmtId="0" hierarchy="4" level="1">
      <sharedItems containsSemiMixedTypes="0" containsNonDate="0" containsString="0"/>
    </cacheField>
  </cacheFields>
  <cacheHierarchies count="27">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2" memberValueDatatype="7" unbalanced="0">
      <fieldsUsage count="2">
        <fieldUsage x="-1"/>
        <fieldUsage x="1"/>
      </fieldsUsage>
    </cacheHierarchy>
    <cacheHierarchy uniqueName="[Base_ventas].[Producto]" caption="Producto" attribute="1" defaultMemberUniqueName="[Base_ventas].[Producto].[All]" allUniqueName="[Base_ventas].[Producto].[All]" dimensionUniqueName="[Base_ventas]" displayFolder="" count="0" memberValueDatatype="130" unbalanced="0"/>
    <cacheHierarchy uniqueName="[Base_ventas].[Categoría]" caption="Categoría" attribute="1" defaultMemberUniqueName="[Base_ventas].[Categoría].[All]" allUniqueName="[Base_ventas].[Categoría].[All]" dimensionUniqueName="[Base_ventas]" displayFolder="" count="2" memberValueDatatype="130" unbalanced="0">
      <fieldsUsage count="2">
        <fieldUsage x="-1"/>
        <fieldUsage x="2"/>
      </fieldsUsage>
    </cacheHierarchy>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2" memberValueDatatype="130" unbalanced="0"/>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0" memberValueDatatype="130" unbalanced="0"/>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oneField="1" hidden="1">
      <fieldsUsage count="1">
        <fieldUsage x="0"/>
      </fieldsUsage>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hidden="1">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y uniqueName="[Measures].[Recuento de Producto]" caption="Recuento de Producto" measure="1" displayFolder="" measureGroup="Base_ventas" count="0" hidden="1">
      <extLst>
        <ext xmlns:x15="http://schemas.microsoft.com/office/spreadsheetml/2010/11/main" uri="{B97F6D7D-B522-45F9-BDA1-12C45D357490}">
          <x15:cacheHierarchy aggregatedColumn="3"/>
        </ext>
      </extLst>
    </cacheHierarchy>
  </cacheHierarchies>
  <kpis count="0"/>
  <dimensions count="2">
    <dimension name="Base_ventas" uniqueName="[Base_ventas]" caption="Base_ventas"/>
    <dimension measure="1" name="Measures" uniqueName="[Measures]" caption="Measures"/>
  </dimensions>
  <measureGroups count="1">
    <measureGroup name="Base_ventas" caption="Base_venta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8.400408912035" backgroundQuery="1" createdVersion="8" refreshedVersion="8" minRefreshableVersion="3" recordCount="0" supportSubquery="1" supportAdvancedDrill="1" xr:uid="{9F6143A8-CDBA-4041-B17D-3CCB96761ACC}">
  <cacheSource type="external" connectionId="10"/>
  <cacheFields count="3">
    <cacheField name="[Measures].[Promedio de Cantidad_vendida]" caption="Promedio de Cantidad_vendida" numFmtId="0" hierarchy="22" level="32767"/>
    <cacheField name="[Base_ventas].[Fecha_venta].[Fecha_venta]" caption="Fecha_venta" numFmtId="0" hierarchy="2" level="1">
      <sharedItems containsSemiMixedTypes="0" containsNonDate="0" containsString="0"/>
    </cacheField>
    <cacheField name="[Base_ventas].[Categoría].[Categoría]" caption="Categoría" numFmtId="0" hierarchy="4" level="1">
      <sharedItems containsSemiMixedTypes="0" containsNonDate="0" containsString="0"/>
    </cacheField>
  </cacheFields>
  <cacheHierarchies count="27">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2" memberValueDatatype="7" unbalanced="0">
      <fieldsUsage count="2">
        <fieldUsage x="-1"/>
        <fieldUsage x="1"/>
      </fieldsUsage>
    </cacheHierarchy>
    <cacheHierarchy uniqueName="[Base_ventas].[Producto]" caption="Producto" attribute="1" defaultMemberUniqueName="[Base_ventas].[Producto].[All]" allUniqueName="[Base_ventas].[Producto].[All]" dimensionUniqueName="[Base_ventas]" displayFolder="" count="0" memberValueDatatype="130" unbalanced="0"/>
    <cacheHierarchy uniqueName="[Base_ventas].[Categoría]" caption="Categoría" attribute="1" defaultMemberUniqueName="[Base_ventas].[Categoría].[All]" allUniqueName="[Base_ventas].[Categoría].[All]" dimensionUniqueName="[Base_ventas]" displayFolder="" count="2" memberValueDatatype="130" unbalanced="0">
      <fieldsUsage count="2">
        <fieldUsage x="-1"/>
        <fieldUsage x="2"/>
      </fieldsUsage>
    </cacheHierarchy>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2" memberValueDatatype="130" unbalanced="0"/>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0" memberValueDatatype="130" unbalanced="0"/>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hidden="1">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oneField="1" hidden="1">
      <fieldsUsage count="1">
        <fieldUsage x="0"/>
      </fieldsUsage>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hidden="1">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y uniqueName="[Measures].[Recuento de Producto]" caption="Recuento de Producto" measure="1" displayFolder="" measureGroup="Base_ventas" count="0" hidden="1">
      <extLst>
        <ext xmlns:x15="http://schemas.microsoft.com/office/spreadsheetml/2010/11/main" uri="{B97F6D7D-B522-45F9-BDA1-12C45D357490}">
          <x15:cacheHierarchy aggregatedColumn="3"/>
        </ext>
      </extLst>
    </cacheHierarchy>
  </cacheHierarchies>
  <kpis count="0"/>
  <dimensions count="2">
    <dimension name="Base_ventas" uniqueName="[Base_ventas]" caption="Base_ventas"/>
    <dimension measure="1" name="Measures" uniqueName="[Measures]" caption="Measures"/>
  </dimensions>
  <measureGroups count="1">
    <measureGroup name="Base_ventas" caption="Base_venta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8.400409027781" backgroundQuery="1" createdVersion="8" refreshedVersion="8" minRefreshableVersion="3" recordCount="0" supportSubquery="1" supportAdvancedDrill="1" xr:uid="{B90B3B79-E016-48ED-B8DC-C0F240789330}">
  <cacheSource type="external" connectionId="10"/>
  <cacheFields count="3">
    <cacheField name="[Measures].[Suma de Cantidad_vendida]" caption="Suma de Cantidad_vendida" numFmtId="0" hierarchy="19" level="32767"/>
    <cacheField name="[Base_ventas].[Fecha_venta].[Fecha_venta]" caption="Fecha_venta" numFmtId="0" hierarchy="2" level="1">
      <sharedItems containsSemiMixedTypes="0" containsNonDate="0" containsString="0"/>
    </cacheField>
    <cacheField name="[Base_ventas].[Categoría].[Categoría]" caption="Categoría" numFmtId="0" hierarchy="4" level="1">
      <sharedItems containsSemiMixedTypes="0" containsNonDate="0" containsString="0"/>
    </cacheField>
  </cacheFields>
  <cacheHierarchies count="27">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2" memberValueDatatype="7" unbalanced="0">
      <fieldsUsage count="2">
        <fieldUsage x="-1"/>
        <fieldUsage x="1"/>
      </fieldsUsage>
    </cacheHierarchy>
    <cacheHierarchy uniqueName="[Base_ventas].[Producto]" caption="Producto" attribute="1" defaultMemberUniqueName="[Base_ventas].[Producto].[All]" allUniqueName="[Base_ventas].[Producto].[All]" dimensionUniqueName="[Base_ventas]" displayFolder="" count="0" memberValueDatatype="130" unbalanced="0"/>
    <cacheHierarchy uniqueName="[Base_ventas].[Categoría]" caption="Categoría" attribute="1" defaultMemberUniqueName="[Base_ventas].[Categoría].[All]" allUniqueName="[Base_ventas].[Categoría].[All]" dimensionUniqueName="[Base_ventas]" displayFolder="" count="2" memberValueDatatype="130" unbalanced="0">
      <fieldsUsage count="2">
        <fieldUsage x="-1"/>
        <fieldUsage x="2"/>
      </fieldsUsage>
    </cacheHierarchy>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2" memberValueDatatype="130" unbalanced="0"/>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0" memberValueDatatype="130" unbalanced="0"/>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hidden="1">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oneField="1" hidden="1">
      <fieldsUsage count="1">
        <fieldUsage x="0"/>
      </fieldsUsage>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hidden="1">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y uniqueName="[Measures].[Recuento de Producto]" caption="Recuento de Producto" measure="1" displayFolder="" measureGroup="Base_ventas" count="0" hidden="1">
      <extLst>
        <ext xmlns:x15="http://schemas.microsoft.com/office/spreadsheetml/2010/11/main" uri="{B97F6D7D-B522-45F9-BDA1-12C45D357490}">
          <x15:cacheHierarchy aggregatedColumn="3"/>
        </ext>
      </extLst>
    </cacheHierarchy>
  </cacheHierarchies>
  <kpis count="0"/>
  <dimensions count="2">
    <dimension name="Base_ventas" uniqueName="[Base_ventas]" caption="Base_ventas"/>
    <dimension measure="1" name="Measures" uniqueName="[Measures]" caption="Measures"/>
  </dimensions>
  <measureGroups count="1">
    <measureGroup name="Base_ventas" caption="Base_venta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8.400409259259" backgroundQuery="1" createdVersion="8" refreshedVersion="8" minRefreshableVersion="3" recordCount="0" supportSubquery="1" supportAdvancedDrill="1" xr:uid="{E25A885C-1642-4EDF-A01F-181A7833FDE8}">
  <cacheSource type="external" connectionId="10"/>
  <cacheFields count="3">
    <cacheField name="[Measures].[Suma de Cantidad_vendida]" caption="Suma de Cantidad_vendida" numFmtId="0" hierarchy="19" level="32767"/>
    <cacheField name="[Base_ventas].[Categoría].[Categoría]" caption="Categoría" numFmtId="0" hierarchy="4" level="1">
      <sharedItems count="3">
        <s v="Accesorios"/>
        <s v="Computación"/>
        <s v="Telefonía"/>
      </sharedItems>
    </cacheField>
    <cacheField name="[Base_ventas].[Fecha_venta].[Fecha_venta]" caption="Fecha_venta" numFmtId="0" hierarchy="2" level="1">
      <sharedItems containsSemiMixedTypes="0" containsNonDate="0" containsString="0"/>
    </cacheField>
  </cacheFields>
  <cacheHierarchies count="27">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2" memberValueDatatype="7" unbalanced="0">
      <fieldsUsage count="2">
        <fieldUsage x="-1"/>
        <fieldUsage x="2"/>
      </fieldsUsage>
    </cacheHierarchy>
    <cacheHierarchy uniqueName="[Base_ventas].[Producto]" caption="Producto" attribute="1" defaultMemberUniqueName="[Base_ventas].[Producto].[All]" allUniqueName="[Base_ventas].[Producto].[All]" dimensionUniqueName="[Base_ventas]" displayFolder="" count="0" memberValueDatatype="130" unbalanced="0"/>
    <cacheHierarchy uniqueName="[Base_ventas].[Categoría]" caption="Categoría" attribute="1" defaultMemberUniqueName="[Base_ventas].[Categoría].[All]" allUniqueName="[Base_ventas].[Categoría].[All]" dimensionUniqueName="[Base_ventas]" displayFolder="" count="2" memberValueDatatype="130" unbalanced="0">
      <fieldsUsage count="2">
        <fieldUsage x="-1"/>
        <fieldUsage x="1"/>
      </fieldsUsage>
    </cacheHierarchy>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2" memberValueDatatype="130" unbalanced="0"/>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0" memberValueDatatype="130" unbalanced="0"/>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hidden="1">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oneField="1" hidden="1">
      <fieldsUsage count="1">
        <fieldUsage x="0"/>
      </fieldsUsage>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hidden="1">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y uniqueName="[Measures].[Recuento de Producto]" caption="Recuento de Producto" measure="1" displayFolder="" measureGroup="Base_ventas" count="0" hidden="1">
      <extLst>
        <ext xmlns:x15="http://schemas.microsoft.com/office/spreadsheetml/2010/11/main" uri="{B97F6D7D-B522-45F9-BDA1-12C45D357490}">
          <x15:cacheHierarchy aggregatedColumn="3"/>
        </ext>
      </extLst>
    </cacheHierarchy>
  </cacheHierarchies>
  <kpis count="0"/>
  <dimensions count="2">
    <dimension name="Base_ventas" uniqueName="[Base_ventas]" caption="Base_ventas"/>
    <dimension measure="1" name="Measures" uniqueName="[Measures]" caption="Measures"/>
  </dimensions>
  <measureGroups count="1">
    <measureGroup name="Base_ventas" caption="Base_venta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8.400409722221" backgroundQuery="1" createdVersion="8" refreshedVersion="8" minRefreshableVersion="3" recordCount="0" supportSubquery="1" supportAdvancedDrill="1" xr:uid="{A92965A4-3DB2-4E56-B832-579EEA436B6B}">
  <cacheSource type="external" connectionId="10"/>
  <cacheFields count="4">
    <cacheField name="[Measures].[Suma de Cantidad_vendida]" caption="Suma de Cantidad_vendida" numFmtId="0" hierarchy="19" level="32767"/>
    <cacheField name="[Base_ventas].[Fecha_venta].[Fecha_venta]" caption="Fecha_venta" numFmtId="0" hierarchy="2" level="1">
      <sharedItems containsSemiMixedTypes="0" containsNonDate="0" containsString="0"/>
    </cacheField>
    <cacheField name="[Base_ventas].[Producto].[Producto]" caption="Producto" numFmtId="0" hierarchy="3" level="1">
      <sharedItems count="5">
        <s v="Auriculares Z"/>
        <s v="Laptop Pro"/>
        <s v="Smartphone X"/>
        <s v="Smartwatch Y"/>
        <s v="Tablet S"/>
      </sharedItems>
    </cacheField>
    <cacheField name="[Base_ventas].[Categoría].[Categoría]" caption="Categoría" numFmtId="0" hierarchy="4" level="1">
      <sharedItems containsSemiMixedTypes="0" containsNonDate="0" containsString="0"/>
    </cacheField>
  </cacheFields>
  <cacheHierarchies count="27">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2" memberValueDatatype="7" unbalanced="0">
      <fieldsUsage count="2">
        <fieldUsage x="-1"/>
        <fieldUsage x="1"/>
      </fieldsUsage>
    </cacheHierarchy>
    <cacheHierarchy uniqueName="[Base_ventas].[Producto]" caption="Producto" attribute="1" defaultMemberUniqueName="[Base_ventas].[Producto].[All]" allUniqueName="[Base_ventas].[Producto].[All]" dimensionUniqueName="[Base_ventas]" displayFolder="" count="2" memberValueDatatype="130" unbalanced="0">
      <fieldsUsage count="2">
        <fieldUsage x="-1"/>
        <fieldUsage x="2"/>
      </fieldsUsage>
    </cacheHierarchy>
    <cacheHierarchy uniqueName="[Base_ventas].[Categoría]" caption="Categoría" attribute="1" defaultMemberUniqueName="[Base_ventas].[Categoría].[All]" allUniqueName="[Base_ventas].[Categoría].[All]" dimensionUniqueName="[Base_ventas]" displayFolder="" count="2" memberValueDatatype="130" unbalanced="0">
      <fieldsUsage count="2">
        <fieldUsage x="-1"/>
        <fieldUsage x="3"/>
      </fieldsUsage>
    </cacheHierarchy>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2" memberValueDatatype="130" unbalanced="0"/>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0" memberValueDatatype="130" unbalanced="0"/>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hidden="1">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oneField="1" hidden="1">
      <fieldsUsage count="1">
        <fieldUsage x="0"/>
      </fieldsUsage>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hidden="1">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y uniqueName="[Measures].[Recuento de Producto]" caption="Recuento de Producto" measure="1" displayFolder="" measureGroup="Base_ventas" count="0" hidden="1">
      <extLst>
        <ext xmlns:x15="http://schemas.microsoft.com/office/spreadsheetml/2010/11/main" uri="{B97F6D7D-B522-45F9-BDA1-12C45D357490}">
          <x15:cacheHierarchy aggregatedColumn="3"/>
        </ext>
      </extLst>
    </cacheHierarchy>
  </cacheHierarchies>
  <kpis count="0"/>
  <dimensions count="2">
    <dimension name="Base_ventas" uniqueName="[Base_ventas]" caption="Base_ventas"/>
    <dimension measure="1" name="Measures" uniqueName="[Measures]" caption="Measures"/>
  </dimensions>
  <measureGroups count="1">
    <measureGroup name="Base_ventas" caption="Base_venta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8.400410069444" backgroundQuery="1" createdVersion="8" refreshedVersion="8" minRefreshableVersion="3" recordCount="0" supportSubquery="1" supportAdvancedDrill="1" xr:uid="{4F2BC047-716A-4755-B6A0-C4AD3F6DD7A3}">
  <cacheSource type="external" connectionId="10"/>
  <cacheFields count="4">
    <cacheField name="[Base_ventas].[Ubicación].[Ubicación]" caption="Ubicación" numFmtId="0" hierarchy="10" level="1">
      <sharedItems count="15">
        <s v="Buenos Aires"/>
        <s v="CABA"/>
        <s v="Chubut"/>
        <s v="Córdoba"/>
        <s v="Corrientes"/>
        <s v="Entre Ríos"/>
        <s v="Mendoza"/>
        <s v="Misiones"/>
        <s v="Neuquén"/>
        <s v="Río Negro"/>
        <s v="Salta"/>
        <s v="San Juan"/>
        <s v="San Luis"/>
        <s v="Santa Fe"/>
        <s v="Tucumán"/>
      </sharedItems>
    </cacheField>
    <cacheField name="[Base_ventas].[Fecha_venta].[Fecha_venta]" caption="Fecha_venta" numFmtId="0" hierarchy="2" level="1">
      <sharedItems containsSemiMixedTypes="0" containsNonDate="0" containsString="0"/>
    </cacheField>
    <cacheField name="[Measures].[Suma de Cantidad_vendida]" caption="Suma de Cantidad_vendida" numFmtId="0" hierarchy="19" level="32767"/>
    <cacheField name="[Base_ventas].[Categoría].[Categoría]" caption="Categoría" numFmtId="0" hierarchy="4" level="1">
      <sharedItems count="3">
        <s v="Accesorios"/>
        <s v="Computación"/>
        <s v="Telefonía"/>
      </sharedItems>
    </cacheField>
  </cacheFields>
  <cacheHierarchies count="27">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2" memberValueDatatype="7" unbalanced="0">
      <fieldsUsage count="2">
        <fieldUsage x="-1"/>
        <fieldUsage x="1"/>
      </fieldsUsage>
    </cacheHierarchy>
    <cacheHierarchy uniqueName="[Base_ventas].[Producto]" caption="Producto" attribute="1" defaultMemberUniqueName="[Base_ventas].[Producto].[All]" allUniqueName="[Base_ventas].[Producto].[All]" dimensionUniqueName="[Base_ventas]" displayFolder="" count="0" memberValueDatatype="130" unbalanced="0"/>
    <cacheHierarchy uniqueName="[Base_ventas].[Categoría]" caption="Categoría" attribute="1" defaultMemberUniqueName="[Base_ventas].[Categoría].[All]" allUniqueName="[Base_ventas].[Categoría].[All]" dimensionUniqueName="[Base_ventas]" displayFolder="" count="2" memberValueDatatype="130" unbalanced="0">
      <fieldsUsage count="2">
        <fieldUsage x="-1"/>
        <fieldUsage x="3"/>
      </fieldsUsage>
    </cacheHierarchy>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2" memberValueDatatype="130" unbalanced="0">
      <fieldsUsage count="2">
        <fieldUsage x="-1"/>
        <fieldUsage x="0"/>
      </fieldsUsage>
    </cacheHierarchy>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0" memberValueDatatype="130" unbalanced="0"/>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hidden="1">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oneField="1" hidden="1">
      <fieldsUsage count="1">
        <fieldUsage x="2"/>
      </fieldsUsage>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hidden="1">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y uniqueName="[Measures].[Recuento de Producto]" caption="Recuento de Producto" measure="1" displayFolder="" measureGroup="Base_ventas" count="0" hidden="1">
      <extLst>
        <ext xmlns:x15="http://schemas.microsoft.com/office/spreadsheetml/2010/11/main" uri="{B97F6D7D-B522-45F9-BDA1-12C45D357490}">
          <x15:cacheHierarchy aggregatedColumn="3"/>
        </ext>
      </extLst>
    </cacheHierarchy>
  </cacheHierarchies>
  <kpis count="0"/>
  <dimensions count="2">
    <dimension name="Base_ventas" uniqueName="[Base_ventas]" caption="Base_ventas"/>
    <dimension measure="1" name="Measures" uniqueName="[Measures]" caption="Measures"/>
  </dimensions>
  <measureGroups count="1">
    <measureGroup name="Base_ventas" caption="Base_venta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2.722203356483" backgroundQuery="1" createdVersion="3" refreshedVersion="8" minRefreshableVersion="3" recordCount="0" supportSubquery="1" supportAdvancedDrill="1" xr:uid="{79725F10-93E2-45A4-AFF8-CDF24B1D6673}">
  <cacheSource type="external" connectionId="10">
    <extLst>
      <ext xmlns:x14="http://schemas.microsoft.com/office/spreadsheetml/2009/9/main" uri="{F057638F-6D5F-4e77-A914-E7F072B9BCA8}">
        <x14:sourceConnection name="ThisWorkbookDataModel"/>
      </ext>
    </extLst>
  </cacheSource>
  <cacheFields count="0"/>
  <cacheHierarchies count="26">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0" memberValueDatatype="7" unbalanced="0"/>
    <cacheHierarchy uniqueName="[Base_ventas].[Producto]" caption="Producto" attribute="1" defaultMemberUniqueName="[Base_ventas].[Producto].[All]" allUniqueName="[Base_ventas].[Producto].[All]" dimensionUniqueName="[Base_ventas]" displayFolder="" count="0" memberValueDatatype="130" unbalanced="0"/>
    <cacheHierarchy uniqueName="[Base_ventas].[Categoría]" caption="Categoría" attribute="1" defaultMemberUniqueName="[Base_ventas].[Categoría].[All]" allUniqueName="[Base_ventas].[Categoría].[All]" dimensionUniqueName="[Base_ventas]" displayFolder="" count="2" memberValueDatatype="130" unbalanced="0"/>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2" memberValueDatatype="130" unbalanced="0"/>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0" memberValueDatatype="130" unbalanced="0"/>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hidden="1">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hidden="1">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702865663"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82.722973495373" backgroundQuery="1" createdVersion="3" refreshedVersion="8" minRefreshableVersion="3" recordCount="0" supportSubquery="1" supportAdvancedDrill="1" xr:uid="{500647A9-EC5F-4984-AD21-9981BB738E77}">
  <cacheSource type="external" connectionId="10">
    <extLst>
      <ext xmlns:x14="http://schemas.microsoft.com/office/spreadsheetml/2009/9/main" uri="{F057638F-6D5F-4e77-A914-E7F072B9BCA8}">
        <x14:sourceConnection name="ThisWorkbookDataModel"/>
      </ext>
    </extLst>
  </cacheSource>
  <cacheFields count="0"/>
  <cacheHierarchies count="26">
    <cacheHierarchy uniqueName="[Base_ventas].[ID_cliente]" caption="ID_cliente" attribute="1" defaultMemberUniqueName="[Base_ventas].[ID_cliente].[All]" allUniqueName="[Base_ventas].[ID_cliente].[All]" dimensionUniqueName="[Base_ventas]" displayFolder="" count="0" memberValueDatatype="20" unbalanced="0"/>
    <cacheHierarchy uniqueName="[Base_ventas].[ID_venta]" caption="ID_venta" attribute="1" defaultMemberUniqueName="[Base_ventas].[ID_venta].[All]" allUniqueName="[Base_ventas].[ID_venta].[All]" dimensionUniqueName="[Base_ventas]" displayFolder="" count="0" memberValueDatatype="130" unbalanced="0"/>
    <cacheHierarchy uniqueName="[Base_ventas].[Fecha_venta]" caption="Fecha_venta" attribute="1" time="1" defaultMemberUniqueName="[Base_ventas].[Fecha_venta].[All]" allUniqueName="[Base_ventas].[Fecha_venta].[All]" dimensionUniqueName="[Base_ventas]" displayFolder="" count="2" memberValueDatatype="7" unbalanced="0"/>
    <cacheHierarchy uniqueName="[Base_ventas].[Producto]" caption="Producto" attribute="1" defaultMemberUniqueName="[Base_ventas].[Producto].[All]" allUniqueName="[Base_ventas].[Producto].[All]" dimensionUniqueName="[Base_ventas]" displayFolder="" count="0" memberValueDatatype="130" unbalanced="0"/>
    <cacheHierarchy uniqueName="[Base_ventas].[Categoría]" caption="Categoría" attribute="1" defaultMemberUniqueName="[Base_ventas].[Categoría].[All]" allUniqueName="[Base_ventas].[Categoría].[All]" dimensionUniqueName="[Base_ventas]" displayFolder="" count="0" memberValueDatatype="130" unbalanced="0"/>
    <cacheHierarchy uniqueName="[Base_ventas].[Precio_unitario]" caption="Precio_unitario" attribute="1" defaultMemberUniqueName="[Base_ventas].[Precio_unitario].[All]" allUniqueName="[Base_ventas].[Precio_unitario].[All]" dimensionUniqueName="[Base_ventas]" displayFolder="" count="0" memberValueDatatype="20" unbalanced="0"/>
    <cacheHierarchy uniqueName="[Base_ventas].[Cantidad_vendida]" caption="Cantidad_vendida" attribute="1" defaultMemberUniqueName="[Base_ventas].[Cantidad_vendida].[All]" allUniqueName="[Base_ventas].[Cantidad_vendida].[All]" dimensionUniqueName="[Base_ventas]" displayFolder="" count="0" memberValueDatatype="20" unbalanced="0"/>
    <cacheHierarchy uniqueName="[Base_ventas].[Total_venta]" caption="Total_venta" attribute="1" defaultMemberUniqueName="[Base_ventas].[Total_venta].[All]" allUniqueName="[Base_ventas].[Total_venta].[All]" dimensionUniqueName="[Base_ventas]" displayFolder="" count="0" memberValueDatatype="20" unbalanced="0"/>
    <cacheHierarchy uniqueName="[Base_ventas].[Nombre_cliente]" caption="Nombre_cliente" attribute="1" defaultMemberUniqueName="[Base_ventas].[Nombre_cliente].[All]" allUniqueName="[Base_ventas].[Nombre_cliente].[All]" dimensionUniqueName="[Base_ventas]" displayFolder="" count="0" memberValueDatatype="130" unbalanced="0"/>
    <cacheHierarchy uniqueName="[Base_ventas].[Método_pago]" caption="Método_pago" attribute="1" defaultMemberUniqueName="[Base_ventas].[Método_pago].[All]" allUniqueName="[Base_ventas].[Método_pago].[All]" dimensionUniqueName="[Base_ventas]" displayFolder="" count="0" memberValueDatatype="130" unbalanced="0"/>
    <cacheHierarchy uniqueName="[Base_ventas].[Ubicación]" caption="Ubicación" attribute="1" defaultMemberUniqueName="[Base_ventas].[Ubicación].[All]" allUniqueName="[Base_ventas].[Ubicación].[All]" dimensionUniqueName="[Base_ventas]" displayFolder="" count="0" memberValueDatatype="130" unbalanced="0"/>
    <cacheHierarchy uniqueName="[Base_ventas].[Método_pago_2]" caption="Método_pago_2" attribute="1" defaultMemberUniqueName="[Base_ventas].[Método_pago_2].[All]" allUniqueName="[Base_ventas].[Método_pago_2].[All]" dimensionUniqueName="[Base_ventas]" displayFolder="" count="0" memberValueDatatype="130" unbalanced="0"/>
    <cacheHierarchy uniqueName="[Base_ventas].[Funcion anidada]" caption="Funcion anidada" attribute="1" defaultMemberUniqueName="[Base_ventas].[Funcion anidada].[All]" allUniqueName="[Base_ventas].[Funcion anidada].[All]" dimensionUniqueName="[Base_ventas]" displayFolder="" count="0" memberValueDatatype="130" unbalanced="0"/>
    <cacheHierarchy uniqueName="[Base_ventas].[Fecha_venta (mes)]" caption="Fecha_venta (mes)" attribute="1" defaultMemberUniqueName="[Base_ventas].[Fecha_venta (mes)].[All]" allUniqueName="[Base_ventas].[Fecha_venta (mes)].[All]" dimensionUniqueName="[Base_ventas]" displayFolder="" count="0" memberValueDatatype="130" unbalanced="0"/>
    <cacheHierarchy uniqueName="[Base_ventas].[Fecha_venta (índice de meses)]" caption="Fecha_venta (índice de meses)" attribute="1" defaultMemberUniqueName="[Base_ventas].[Fecha_venta (índice de meses)].[All]" allUniqueName="[Base_ventas].[Fecha_venta (índice de meses)].[All]" dimensionUniqueName="[Base_ventas]" displayFolder="" count="0" memberValueDatatype="20" unbalanced="0" hidden="1"/>
    <cacheHierarchy uniqueName="[Measures].[__XL_Count Base_ventas]" caption="__XL_Count Base_ventas" measure="1" displayFolder="" measureGroup="Base_ventas" count="0" hidden="1"/>
    <cacheHierarchy uniqueName="[Measures].[__No measures defined]" caption="__No measures defined" measure="1" displayFolder="" count="0" hidden="1"/>
    <cacheHierarchy uniqueName="[Measures].[Recuento de Fecha_venta]" caption="Recuento de Fecha_venta" measure="1" displayFolder="" measureGroup="Base_ventas" count="0" hidden="1">
      <extLst>
        <ext xmlns:x15="http://schemas.microsoft.com/office/spreadsheetml/2010/11/main" uri="{B97F6D7D-B522-45F9-BDA1-12C45D357490}">
          <x15:cacheHierarchy aggregatedColumn="2"/>
        </ext>
      </extLst>
    </cacheHierarchy>
    <cacheHierarchy uniqueName="[Measures].[Suma de Total_venta]" caption="Suma de Total_venta" measure="1" displayFolder="" measureGroup="Base_ventas" count="0" hidden="1">
      <extLst>
        <ext xmlns:x15="http://schemas.microsoft.com/office/spreadsheetml/2010/11/main" uri="{B97F6D7D-B522-45F9-BDA1-12C45D357490}">
          <x15:cacheHierarchy aggregatedColumn="7"/>
        </ext>
      </extLst>
    </cacheHierarchy>
    <cacheHierarchy uniqueName="[Measures].[Suma de Cantidad_vendida]" caption="Suma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Método_pago]" caption="Recuento de Método_pago" measure="1" displayFolder="" measureGroup="Base_ventas" count="0" hidden="1">
      <extLst>
        <ext xmlns:x15="http://schemas.microsoft.com/office/spreadsheetml/2010/11/main" uri="{B97F6D7D-B522-45F9-BDA1-12C45D357490}">
          <x15:cacheHierarchy aggregatedColumn="9"/>
        </ext>
      </extLst>
    </cacheHierarchy>
    <cacheHierarchy uniqueName="[Measures].[Recuento de Categoría]" caption="Recuento de Categoría" measure="1" displayFolder="" measureGroup="Base_ventas" count="0" hidden="1">
      <extLst>
        <ext xmlns:x15="http://schemas.microsoft.com/office/spreadsheetml/2010/11/main" uri="{B97F6D7D-B522-45F9-BDA1-12C45D357490}">
          <x15:cacheHierarchy aggregatedColumn="4"/>
        </ext>
      </extLst>
    </cacheHierarchy>
    <cacheHierarchy uniqueName="[Measures].[Promedio de Cantidad_vendida]" caption="Promedio de Cantidad_vendida" measure="1" displayFolder="" measureGroup="Base_ventas" count="0" hidden="1">
      <extLst>
        <ext xmlns:x15="http://schemas.microsoft.com/office/spreadsheetml/2010/11/main" uri="{B97F6D7D-B522-45F9-BDA1-12C45D357490}">
          <x15:cacheHierarchy aggregatedColumn="6"/>
        </ext>
      </extLst>
    </cacheHierarchy>
    <cacheHierarchy uniqueName="[Measures].[Recuento de ID_venta]" caption="Recuento de ID_venta" measure="1" displayFolder="" measureGroup="Base_ventas" count="0" hidden="1">
      <extLst>
        <ext xmlns:x15="http://schemas.microsoft.com/office/spreadsheetml/2010/11/main" uri="{B97F6D7D-B522-45F9-BDA1-12C45D357490}">
          <x15:cacheHierarchy aggregatedColumn="1"/>
        </ext>
      </extLst>
    </cacheHierarchy>
    <cacheHierarchy uniqueName="[Measures].[Recuento de Funcion anidada]" caption="Recuento de Funcion anidada" measure="1" displayFolder="" measureGroup="Base_ventas" count="0" hidden="1">
      <extLst>
        <ext xmlns:x15="http://schemas.microsoft.com/office/spreadsheetml/2010/11/main" uri="{B97F6D7D-B522-45F9-BDA1-12C45D357490}">
          <x15:cacheHierarchy aggregatedColumn="12"/>
        </ext>
      </extLst>
    </cacheHierarchy>
    <cacheHierarchy uniqueName="[Measures].[Recuento de Método_pago_2]" caption="Recuento de Método_pago_2" measure="1" displayFolder="" measureGroup="Base_ventas"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pivotCacheId="161535947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EF98AA-7F9B-47A3-8357-2F263B44E148}" name="Venta por categoria" cacheId="5" applyNumberFormats="0" applyBorderFormats="0" applyFontFormats="0" applyPatternFormats="0" applyAlignmentFormats="0" applyWidthHeightFormats="1" dataCaption="Valores" tag="ed3c678c-704d-4e98-b41e-6afda3361486" updatedVersion="8" minRefreshableVersion="5" useAutoFormatting="1" subtotalHiddenItems="1" itemPrintTitles="1" createdVersion="8" indent="0" outline="1" outlineData="1" multipleFieldFilters="0" chartFormat="30" rowHeaderCaption="Categoría">
  <location ref="K3:L7"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Cantidad" fld="0" baseField="1" baseItem="0"/>
  </dataFields>
  <chartFormats count="8">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 count="1" selected="0">
            <x v="2"/>
          </reference>
        </references>
      </pivotArea>
    </chartFormat>
    <chartFormat chart="6" format="4">
      <pivotArea type="data" outline="0" fieldPosition="0">
        <references count="2">
          <reference field="4294967294" count="1" selected="0">
            <x v="0"/>
          </reference>
          <reference field="1" count="1" selected="0">
            <x v="1"/>
          </reference>
        </references>
      </pivotArea>
    </chartFormat>
    <chartFormat chart="6" format="5">
      <pivotArea type="data" outline="0" fieldPosition="0">
        <references count="2">
          <reference field="4294967294" count="1" selected="0">
            <x v="0"/>
          </reference>
          <reference field="1" count="1" selected="0">
            <x v="0"/>
          </reference>
        </references>
      </pivotArea>
    </chartFormat>
    <chartFormat chart="6" format="6" series="1">
      <pivotArea type="data" outline="0" fieldPosition="0">
        <references count="2">
          <reference field="4294967294" count="1" selected="0">
            <x v="0"/>
          </reference>
          <reference field="1" count="1" selected="0">
            <x v="1"/>
          </reference>
        </references>
      </pivotArea>
    </chartFormat>
    <chartFormat chart="6" format="7" series="1">
      <pivotArea type="data" outline="0" fieldPosition="0">
        <references count="2">
          <reference field="4294967294" count="1" selected="0">
            <x v="0"/>
          </reference>
          <reference field="1" count="1" selected="0">
            <x v="2"/>
          </reference>
        </references>
      </pivotArea>
    </chartFormat>
    <chartFormat chart="6" format="8" series="1">
      <pivotArea type="data" outline="0" fieldPosition="0">
        <references count="2">
          <reference field="4294967294" count="1" selected="0">
            <x v="0"/>
          </reference>
          <reference field="1" count="1" selected="0">
            <x v="0"/>
          </reference>
        </references>
      </pivotArea>
    </chartFormat>
  </chartFormats>
  <pivotHierarchies count="2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Cantida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12" name="[Base_ventas].[Fecha_vent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yectofinal_Diez.xlsm!Base_ventas">
        <x15:activeTabTopLevelEntity name="[Base_vent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9F5749-F975-416D-B0CB-FB5DF586E41D}" name="Unidades vendidas" cacheId="4" applyNumberFormats="0" applyBorderFormats="0" applyFontFormats="0" applyPatternFormats="0" applyAlignmentFormats="0" applyWidthHeightFormats="1" dataCaption="Valores" tag="2d0a90c8-5262-4bf1-89f6-750791c46b1d" updatedVersion="8" minRefreshableVersion="5" useAutoFormatting="1" subtotalHiddenItems="1" itemPrintTitles="1" createdVersion="8" indent="0" outline="1" outlineData="1" multipleFieldFilters="0">
  <location ref="F3:F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antidad" fld="0" baseField="0" baseItem="0"/>
  </dataFields>
  <pivotHierarchies count="2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Cantida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12" name="[Base_ventas].[Fecha_vent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yectofinal_Diez.xlsm!Base_ventas">
        <x15:activeTabTopLevelEntity name="[Base_vent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7D6D0F-0EE8-4469-8D63-397ED6E234CB}" name="Venta por producto" cacheId="6" applyNumberFormats="0" applyBorderFormats="0" applyFontFormats="0" applyPatternFormats="0" applyAlignmentFormats="0" applyWidthHeightFormats="1" dataCaption="Valores" tag="6ac64387-22d1-4292-afd5-15902dae44ed" updatedVersion="8" minRefreshableVersion="5" useAutoFormatting="1" subtotalHiddenItems="1" itemPrintTitles="1" createdVersion="8" indent="0" outline="1" outlineData="1" multipleFieldFilters="0" chartFormat="19" rowHeaderCaption="Producto">
  <location ref="N3:O9" firstHeaderRow="1" firstDataRow="1" firstDataCol="1"/>
  <pivotFields count="4">
    <pivotField dataField="1" subtotalTop="0" showAll="0" defaultSubtotal="0"/>
    <pivotField allDrilled="1" subtotalTop="0" showAll="0" dataSourceSort="1" defaultSubtotal="0" defaultAttributeDrillState="1"/>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6">
    <i>
      <x v="3"/>
    </i>
    <i>
      <x v="1"/>
    </i>
    <i>
      <x v="2"/>
    </i>
    <i>
      <x v="4"/>
    </i>
    <i>
      <x/>
    </i>
    <i t="grand">
      <x/>
    </i>
  </rowItems>
  <colItems count="1">
    <i/>
  </colItems>
  <dataFields count="1">
    <dataField name="Cantidad" fld="0" baseField="2" baseItem="3"/>
  </dataFields>
  <chartFormats count="8">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9" series="1">
      <pivotArea type="data" outline="0" fieldPosition="0">
        <references count="2">
          <reference field="4294967294" count="1" selected="0">
            <x v="0"/>
          </reference>
          <reference field="2" count="1" selected="0">
            <x v="1"/>
          </reference>
        </references>
      </pivotArea>
    </chartFormat>
    <chartFormat chart="6" format="10" series="1">
      <pivotArea type="data" outline="0" fieldPosition="0">
        <references count="2">
          <reference field="4294967294" count="1" selected="0">
            <x v="0"/>
          </reference>
          <reference field="2" count="1" selected="0">
            <x v="2"/>
          </reference>
        </references>
      </pivotArea>
    </chartFormat>
    <chartFormat chart="6" format="11" series="1">
      <pivotArea type="data" outline="0" fieldPosition="0">
        <references count="2">
          <reference field="4294967294" count="1" selected="0">
            <x v="0"/>
          </reference>
          <reference field="2" count="1" selected="0">
            <x v="3"/>
          </reference>
        </references>
      </pivotArea>
    </chartFormat>
    <chartFormat chart="6" format="12" series="1">
      <pivotArea type="data" outline="0" fieldPosition="0">
        <references count="2">
          <reference field="4294967294" count="1" selected="0">
            <x v="0"/>
          </reference>
          <reference field="2" count="1" selected="0">
            <x v="4"/>
          </reference>
        </references>
      </pivotArea>
    </chartFormat>
    <chartFormat chart="6" format="13">
      <pivotArea type="data" outline="0" fieldPosition="0">
        <references count="2">
          <reference field="4294967294" count="1" selected="0">
            <x v="0"/>
          </reference>
          <reference field="2" count="1" selected="0">
            <x v="4"/>
          </reference>
        </references>
      </pivotArea>
    </chartFormat>
    <chartFormat chart="6" format="14" series="1">
      <pivotArea type="data" outline="0" fieldPosition="0">
        <references count="2">
          <reference field="4294967294" count="1" selected="0">
            <x v="0"/>
          </reference>
          <reference field="2" count="1" selected="0">
            <x v="0"/>
          </reference>
        </references>
      </pivotArea>
    </chartFormat>
  </chartFormats>
  <pivotHierarchies count="2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Cantida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12" name="[Base_ventas].[Fecha_vent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yectofinal_Diez.xlsm!Base_ventas">
        <x15:activeTabTopLevelEntity name="[Base_vent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47B8BD3-9750-434E-88D0-1D63F571CBD5}" name="Ingreso" cacheId="2" applyNumberFormats="0" applyBorderFormats="0" applyFontFormats="0" applyPatternFormats="0" applyAlignmentFormats="0" applyWidthHeightFormats="1" dataCaption="Valores" tag="74fd3e2d-d941-48ce-8d32-55e6699210ce" updatedVersion="8" minRefreshableVersion="5" useAutoFormatting="1" subtotalHiddenItems="1" itemPrintTitles="1" createdVersion="8" indent="0" outline="1" outlineData="1" multipleFieldFilters="0">
  <location ref="D3:D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fld="0" baseField="0" baseItem="0" numFmtId="3"/>
  </dataFields>
  <formats count="1">
    <format dxfId="0">
      <pivotArea outline="0" collapsedLevelsAreSubtotals="1" fieldPosition="0"/>
    </format>
  </formats>
  <pivotHierarchies count="2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Total"/>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12" name="[Base_ventas].[Fecha_vent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yectofinal_Diez.xlsm!Base_ventas">
        <x15:activeTabTopLevelEntity name="[Base_vent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D4EA30-F586-4F00-BEA2-04D23154883C}" name="Clientes" cacheId="1" applyNumberFormats="0" applyBorderFormats="0" applyFontFormats="0" applyPatternFormats="0" applyAlignmentFormats="0" applyWidthHeightFormats="1" dataCaption="Valores" updatedVersion="8" minRefreshableVersion="5" useAutoFormatting="1" subtotalHiddenItems="1" itemPrintTitles="1" createdVersion="8" indent="0" outline="1" outlineData="1" multipleFieldFilters="0">
  <location ref="B3:B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lientes" fld="0" subtotal="count" baseField="0" baseItem="0"/>
  </dataFields>
  <pivotHierarchies count="2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lientes"/>
    <pivotHierarchy dragToData="1"/>
    <pivotHierarchy dragToData="1"/>
    <pivotHierarchy dragToData="1"/>
  </pivotHierarchies>
  <pivotTableStyleInfo name="PivotStyleLight16" showRowHeaders="1" showColHeaders="1" showRowStripes="0" showColStripes="0" showLastColumn="1"/>
  <filters count="1">
    <filter fld="1" type="dateBetween" evalOrder="-1" id="12" name="[Base_ventas].[Fecha_vent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yectofinal_Diez.xlsm!Base_ventas">
        <x15:activeTabTopLevelEntity name="[Base_vent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0F54FD9-33FC-4BB5-87F3-A194FBFFCC9E}" name="Venta por ubicación" cacheId="7" applyNumberFormats="0" applyBorderFormats="0" applyFontFormats="0" applyPatternFormats="0" applyAlignmentFormats="0" applyWidthHeightFormats="1" dataCaption="Valores" tag="ff01ed12-8279-4d08-bf9d-463f2cfb8883" updatedVersion="8" minRefreshableVersion="5" useAutoFormatting="1" subtotalHiddenItems="1" itemPrintTitles="1" createdVersion="8" indent="0" outline="1" outlineData="1" multipleFieldFilters="0" chartFormat="23" rowHeaderCaption="Ubicación" colHeaderCaption="">
  <location ref="T3:X20" firstHeaderRow="1" firstDataRow="2" firstDataCol="1"/>
  <pivotFields count="4">
    <pivotField axis="axisRow" allDrilled="1" subtotalTop="0" showAll="0"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 axis="axisCol" allDrilled="1" subtotalTop="0" showAll="0" dataSourceSort="1" defaultSubtotal="0" defaultAttributeDrillState="1">
      <items count="3">
        <item x="0"/>
        <item x="1"/>
        <item x="2"/>
      </items>
    </pivotField>
  </pivotFields>
  <rowFields count="1">
    <field x="0"/>
  </rowFields>
  <rowItems count="16">
    <i>
      <x v="9"/>
    </i>
    <i>
      <x v="10"/>
    </i>
    <i>
      <x v="14"/>
    </i>
    <i>
      <x v="1"/>
    </i>
    <i>
      <x v="11"/>
    </i>
    <i>
      <x v="4"/>
    </i>
    <i>
      <x v="5"/>
    </i>
    <i>
      <x/>
    </i>
    <i>
      <x v="7"/>
    </i>
    <i>
      <x v="2"/>
    </i>
    <i>
      <x v="13"/>
    </i>
    <i>
      <x v="8"/>
    </i>
    <i>
      <x v="12"/>
    </i>
    <i>
      <x v="3"/>
    </i>
    <i>
      <x v="6"/>
    </i>
    <i t="grand">
      <x/>
    </i>
  </rowItems>
  <colFields count="1">
    <field x="3"/>
  </colFields>
  <colItems count="4">
    <i>
      <x/>
    </i>
    <i>
      <x v="1"/>
    </i>
    <i>
      <x v="2"/>
    </i>
    <i t="grand">
      <x/>
    </i>
  </colItems>
  <dataFields count="1">
    <dataField name="Venta por ubicación" fld="2" baseField="0" baseItem="0"/>
  </dataFields>
  <chartFormats count="10">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2">
          <reference field="4294967294" count="1" selected="0">
            <x v="0"/>
          </reference>
          <reference field="3" count="1" selected="0">
            <x v="1"/>
          </reference>
        </references>
      </pivotArea>
    </chartFormat>
    <chartFormat chart="4" format="10" series="1">
      <pivotArea type="data" outline="0" fieldPosition="0">
        <references count="2">
          <reference field="4294967294" count="1" selected="0">
            <x v="0"/>
          </reference>
          <reference field="3" count="1" selected="0">
            <x v="2"/>
          </reference>
        </references>
      </pivotArea>
    </chartFormat>
    <chartFormat chart="4" format="11" series="1">
      <pivotArea type="data" outline="0" fieldPosition="0">
        <references count="2">
          <reference field="4294967294" count="1" selected="0">
            <x v="0"/>
          </reference>
          <reference field="3" count="1" selected="0">
            <x v="0"/>
          </reference>
        </references>
      </pivotArea>
    </chartFormat>
    <chartFormat chart="13" format="12" series="1">
      <pivotArea type="data" outline="0" fieldPosition="0">
        <references count="2">
          <reference field="4294967294" count="1" selected="0">
            <x v="0"/>
          </reference>
          <reference field="3" count="1" selected="0">
            <x v="0"/>
          </reference>
        </references>
      </pivotArea>
    </chartFormat>
    <chartFormat chart="13" format="13" series="1">
      <pivotArea type="data" outline="0" fieldPosition="0">
        <references count="2">
          <reference field="4294967294" count="1" selected="0">
            <x v="0"/>
          </reference>
          <reference field="3" count="1" selected="0">
            <x v="1"/>
          </reference>
        </references>
      </pivotArea>
    </chartFormat>
    <chartFormat chart="13" format="14" series="1">
      <pivotArea type="data" outline="0" fieldPosition="0">
        <references count="2">
          <reference field="4294967294" count="1" selected="0">
            <x v="0"/>
          </reference>
          <reference field="3" count="1" selected="0">
            <x v="2"/>
          </reference>
        </references>
      </pivotArea>
    </chartFormat>
    <chartFormat chart="14" format="15" series="1">
      <pivotArea type="data" outline="0" fieldPosition="0">
        <references count="2">
          <reference field="4294967294" count="1" selected="0">
            <x v="0"/>
          </reference>
          <reference field="3" count="1" selected="0">
            <x v="0"/>
          </reference>
        </references>
      </pivotArea>
    </chartFormat>
    <chartFormat chart="14" format="16" series="1">
      <pivotArea type="data" outline="0" fieldPosition="0">
        <references count="2">
          <reference field="4294967294" count="1" selected="0">
            <x v="0"/>
          </reference>
          <reference field="3" count="1" selected="0">
            <x v="1"/>
          </reference>
        </references>
      </pivotArea>
    </chartFormat>
    <chartFormat chart="14" format="17" series="1">
      <pivotArea type="data" outline="0" fieldPosition="0">
        <references count="2">
          <reference field="4294967294" count="1" selected="0">
            <x v="0"/>
          </reference>
          <reference field="3" count="1" selected="0">
            <x v="2"/>
          </reference>
        </references>
      </pivotArea>
    </chartFormat>
  </chartFormats>
  <pivotHierarchies count="2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Venta por ubicació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12" name="[Base_ventas].[Fecha_vent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
    <rowHierarchyUsage hierarchyUsage="10"/>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yectofinal_Diez.xlsm!Base_ventas">
        <x15:activeTabTopLevelEntity name="[Base_vent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D6786E4-414C-42EA-972A-7AE56F60E97D}" name="Venta por mes" cacheId="0" applyNumberFormats="0" applyBorderFormats="0" applyFontFormats="0" applyPatternFormats="0" applyAlignmentFormats="0" applyWidthHeightFormats="1" dataCaption="Valores" tag="60a438ba-dd44-43d6-8f8c-9652324d97f6" updatedVersion="8" minRefreshableVersion="5" useAutoFormatting="1" subtotalHiddenItems="1" itemPrintTitles="1" createdVersion="8" indent="0" outline="1" outlineData="1" multipleFieldFilters="0" chartFormat="14" rowHeaderCaption="Mes">
  <location ref="Q3:R16" firstHeaderRow="1"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antidad" fld="0" baseField="1"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Cantida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 name="[Base_ventas].[Fecha_vent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yectofinal_Diez.xlsm!Base_ventas">
        <x15:activeTabTopLevelEntity name="[Base_vent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217FB9A-A1E1-4A08-9991-9C7369611552}" name="Promedio ventas" cacheId="3" applyNumberFormats="0" applyBorderFormats="0" applyFontFormats="0" applyPatternFormats="0" applyAlignmentFormats="0" applyWidthHeightFormats="1" dataCaption="Valores" tag="cab06570-2de7-43d6-8fb9-ffe4b7188078" updatedVersion="8" minRefreshableVersion="5" useAutoFormatting="1" subtotalHiddenItems="1" itemPrintTitles="1" createdVersion="8" indent="0" outline="1" outlineData="1" multipleFieldFilters="0">
  <location ref="H3:H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Promedio " fld="0" subtotal="average" baseField="0" baseItem="0" numFmtId="2"/>
  </dataFields>
  <pivotHierarchies count="2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Promedio "/>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12" name="[Base_ventas].[Fecha_vent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yectofinal_Diez.xlsm!Base_ventas">
        <x15:activeTabTopLevelEntity name="[Base_venta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2" xr16:uid="{CFEA53D7-2293-4964-8744-DEDBAB56E472}" autoFormatId="16" applyNumberFormats="0" applyBorderFormats="0" applyFontFormats="0" applyPatternFormats="0" applyAlignmentFormats="0" applyWidthHeightFormats="0">
  <queryTableRefresh nextId="14" unboundColumnsRight="2">
    <queryTableFields count="13">
      <queryTableField id="1" name="ID_cliente" tableColumnId="1"/>
      <queryTableField id="2" name="ID_venta" tableColumnId="2"/>
      <queryTableField id="3" name="Fecha_venta" tableColumnId="3"/>
      <queryTableField id="4" name="Producto" tableColumnId="4"/>
      <queryTableField id="5" name="Categoría" tableColumnId="5"/>
      <queryTableField id="6" name="Precio_unitario" tableColumnId="6"/>
      <queryTableField id="7" name="Cantidad_vendida" tableColumnId="7"/>
      <queryTableField id="8" name="Total_venta" tableColumnId="8"/>
      <queryTableField id="9" name="Nombre_cliente" tableColumnId="9"/>
      <queryTableField id="10" name="Método_pago" tableColumnId="10"/>
      <queryTableField id="11" name="Ubicación" tableColumnId="11"/>
      <queryTableField id="12" dataBound="0" tableColumnId="12"/>
      <queryTableField id="13" dataBound="0"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ía" xr10:uid="{41C562EA-B422-4219-B11D-080BCC1AE4E8}" sourceName="[Base_ventas].[Categoría]">
  <pivotTables>
    <pivotTable tabId="20" name="Venta por mes"/>
    <pivotTable tabId="20" name="Clientes"/>
    <pivotTable tabId="20" name="Ingreso"/>
    <pivotTable tabId="20" name="Promedio ventas"/>
    <pivotTable tabId="20" name="Unidades vendidas"/>
    <pivotTable tabId="20" name="Venta por categoria"/>
    <pivotTable tabId="20" name="Venta por producto"/>
    <pivotTable tabId="20" name="Venta por ubicación"/>
  </pivotTables>
  <data>
    <olap pivotCacheId="1702865663">
      <levels count="2">
        <level uniqueName="[Base_ventas].[Categoría].[(All)]" sourceCaption="(All)" count="0"/>
        <level uniqueName="[Base_ventas].[Categoría].[Categoría]" sourceCaption="Categoría" count="3">
          <ranges>
            <range startItem="0">
              <i n="[Base_ventas].[Categoría].&amp;[Accesorios]" c="Accesorios"/>
              <i n="[Base_ventas].[Categoría].&amp;[Computación]" c="Computación"/>
              <i n="[Base_ventas].[Categoría].&amp;[Telefonía]" c="Telefonía"/>
            </range>
          </ranges>
        </level>
      </levels>
      <selections count="1">
        <selection n="[Base_ventas].[Categoría].[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Ubicación" xr10:uid="{2013A6AC-A4D3-418E-826A-C917259038FB}" sourceName="[Base_ventas].[Ubicación]">
  <pivotTables>
    <pivotTable tabId="20" name="Venta por mes"/>
    <pivotTable tabId="20" name="Clientes"/>
    <pivotTable tabId="20" name="Ingreso"/>
    <pivotTable tabId="20" name="Promedio ventas"/>
    <pivotTable tabId="20" name="Unidades vendidas"/>
    <pivotTable tabId="20" name="Venta por categoria"/>
    <pivotTable tabId="20" name="Venta por producto"/>
    <pivotTable tabId="20" name="Venta por ubicación"/>
  </pivotTables>
  <data>
    <olap pivotCacheId="1702865663">
      <levels count="2">
        <level uniqueName="[Base_ventas].[Ubicación].[(All)]" sourceCaption="(All)" count="0"/>
        <level uniqueName="[Base_ventas].[Ubicación].[Ubicación]" sourceCaption="Ubicación" count="15">
          <ranges>
            <range startItem="0">
              <i n="[Base_ventas].[Ubicación].&amp;[Buenos Aires]" c="Buenos Aires"/>
              <i n="[Base_ventas].[Ubicación].&amp;[CABA]" c="CABA"/>
              <i n="[Base_ventas].[Ubicación].&amp;[Chubut]" c="Chubut"/>
              <i n="[Base_ventas].[Ubicación].&amp;[Córdoba]" c="Córdoba"/>
              <i n="[Base_ventas].[Ubicación].&amp;[Corrientes]" c="Corrientes"/>
              <i n="[Base_ventas].[Ubicación].&amp;[Entre Ríos]" c="Entre Ríos"/>
              <i n="[Base_ventas].[Ubicación].&amp;[Mendoza]" c="Mendoza"/>
              <i n="[Base_ventas].[Ubicación].&amp;[Misiones]" c="Misiones"/>
              <i n="[Base_ventas].[Ubicación].&amp;[Neuquén]" c="Neuquén"/>
              <i n="[Base_ventas].[Ubicación].&amp;[Río Negro]" c="Río Negro"/>
              <i n="[Base_ventas].[Ubicación].&amp;[Salta]" c="Salta"/>
              <i n="[Base_ventas].[Ubicación].&amp;[San Juan]" c="San Juan"/>
              <i n="[Base_ventas].[Ubicación].&amp;[San Luis]" c="San Luis"/>
              <i n="[Base_ventas].[Ubicación].&amp;[Santa Fe]" c="Santa Fe"/>
              <i n="[Base_ventas].[Ubicación].&amp;[Tucumán]" c="Tucumán"/>
            </range>
          </ranges>
        </level>
      </levels>
      <selections count="1">
        <selection n="[Base_ventas].[Ubicació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ía" xr10:uid="{A85A6E24-733A-478E-AB9F-507543A3F39E}" cache="SegmentaciónDeDatos_Categoría" caption="Categoría" showCaption="0" level="1" style="SlicerStyleLight5 2" rowHeight="576000"/>
  <slicer name="Ubicación" xr10:uid="{E6FA12F3-587E-4C4D-BD5A-8442735CDA4A}" cache="SegmentaciónDeDatos_Ubicación" caption="Ubicación" showCaption="0" level="1" style="SlicerStyleLight5 2" rowHeight="39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687AA36-6665-4B7D-BBF6-9EA56B946A44}" name="Base_ventas" displayName="Base_ventas" ref="A3:M503" tableType="queryTable" totalsRowShown="0">
  <tableColumns count="13">
    <tableColumn id="1" xr3:uid="{C961D30E-B510-44A5-A42E-33920528907E}" uniqueName="1" name="ID_cliente" queryTableFieldId="1"/>
    <tableColumn id="2" xr3:uid="{B8509BA9-A4B9-4022-AFC0-F7D1C038CE37}" uniqueName="2" name="ID_venta" queryTableFieldId="2" dataDxfId="11"/>
    <tableColumn id="3" xr3:uid="{AAE54A09-BA4C-47B4-B4FF-375D317A7E83}" uniqueName="3" name="Fecha_venta" queryTableFieldId="3" dataDxfId="10"/>
    <tableColumn id="4" xr3:uid="{2B037373-B7FD-4A60-BC4A-047F3DD88FCE}" uniqueName="4" name="Producto" queryTableFieldId="4" dataDxfId="9"/>
    <tableColumn id="5" xr3:uid="{4666BCC9-AAB6-4B0F-94C9-D562DB9E98AF}" uniqueName="5" name="Categoría" queryTableFieldId="5" dataDxfId="8"/>
    <tableColumn id="6" xr3:uid="{B2E9E7A5-41B9-4085-802E-9C9EA7E111A8}" uniqueName="6" name="Precio_unitario" queryTableFieldId="6" dataDxfId="7"/>
    <tableColumn id="7" xr3:uid="{933A354C-A416-4525-996E-F85F30E3AC3E}" uniqueName="7" name="Cantidad_vendida" queryTableFieldId="7"/>
    <tableColumn id="8" xr3:uid="{64D5E58A-FAF8-4731-8E18-BEB80BEC15E2}" uniqueName="8" name="Total_venta" queryTableFieldId="8" dataDxfId="6"/>
    <tableColumn id="9" xr3:uid="{8F6478D0-D8A4-4D42-B77D-6F1BDC20D85F}" uniqueName="9" name="Nombre_cliente" queryTableFieldId="9" dataDxfId="5"/>
    <tableColumn id="10" xr3:uid="{F50E4899-8FDF-4506-8023-2B64B4D14F34}" uniqueName="10" name="Método_pago" queryTableFieldId="10" dataDxfId="4"/>
    <tableColumn id="11" xr3:uid="{196A7401-6373-414C-84E8-4737C684AADE}" uniqueName="11" name="Ubicación" queryTableFieldId="11" dataDxfId="3"/>
    <tableColumn id="12" xr3:uid="{89BACEA6-DF7F-47BA-85CC-B7EAC1BFE2CD}" uniqueName="12" name="Método_pago_2" queryTableFieldId="12" dataDxfId="2">
      <calculatedColumnFormula>IF(Base_ventas[[#This Row],[Método_pago]]="Efectivo","Efectivo","Electrónico")</calculatedColumnFormula>
    </tableColumn>
    <tableColumn id="13" xr3:uid="{B5D7D548-F1A7-4CFF-847F-44870D02A42E}" uniqueName="13" name="Funcion anidada" queryTableFieldId="13" dataDxfId="1">
      <calculatedColumnFormula>IF(AND(G4&gt;2,H4&gt;=1000000),"Best seller","Venta promedio")</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Distintivo">
  <a:themeElements>
    <a:clrScheme name="Rojo naranja">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Distintivo">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Distintivo">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Fecha_venta" xr10:uid="{06EBD5ED-B656-4CCD-ADFF-8F9CD006F431}" sourceName="[Base_ventas].[Fecha_venta]">
  <pivotTables>
    <pivotTable tabId="20" name="Clientes"/>
    <pivotTable tabId="20" name="Ingreso"/>
    <pivotTable tabId="20" name="Promedio ventas"/>
    <pivotTable tabId="20" name="Unidades vendidas"/>
    <pivotTable tabId="20" name="Venta por categoria"/>
    <pivotTable tabId="20" name="Venta por producto"/>
    <pivotTable tabId="20" name="Venta por ubicación"/>
  </pivotTables>
  <state minimalRefreshVersion="6" lastRefreshVersion="6" pivotCacheId="1615359479" filterType="dateBetween">
    <selection startDate="2024-01-01T00:00:00" endDate="2024-12-31T00:00:00"/>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_venta" xr10:uid="{9769CBFE-55E5-4BED-BBA8-C76508B56C65}" cache="Timeline_Fecha_venta" caption="Fecha_venta" showHeader="0" showSelectionLabel="0" showTimeLevel="0" showHorizontalScrollbar="0" level="2" selectionLevel="0" scrollPosition="2024-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24F01-6D2B-4F3B-870A-147F2DC3395A}">
  <sheetPr codeName="Hoja1"/>
  <dimension ref="A1:Y45"/>
  <sheetViews>
    <sheetView showGridLines="0" tabSelected="1" zoomScale="85" zoomScaleNormal="85" workbookViewId="0">
      <selection activeCell="Y45" sqref="Y45"/>
    </sheetView>
  </sheetViews>
  <sheetFormatPr baseColWidth="10" defaultColWidth="0" defaultRowHeight="17.25" zeroHeight="1" x14ac:dyDescent="0.35"/>
  <cols>
    <col min="1" max="25" width="11" style="22" customWidth="1"/>
    <col min="26" max="16384" width="11" style="22"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8DD16-982B-4DDE-8CB3-03D1A276D3EF}">
  <sheetPr codeName="Hoja2"/>
  <dimension ref="A1:XFC48"/>
  <sheetViews>
    <sheetView showGridLines="0" zoomScale="85" zoomScaleNormal="85" workbookViewId="0">
      <selection activeCell="A48" sqref="A48"/>
    </sheetView>
  </sheetViews>
  <sheetFormatPr baseColWidth="10" defaultColWidth="11" defaultRowHeight="17.25" zeroHeight="1" x14ac:dyDescent="0.35"/>
  <cols>
    <col min="1" max="16" width="11" style="22" customWidth="1"/>
    <col min="17" max="16383" width="0" style="22" hidden="1" customWidth="1"/>
    <col min="16384" max="16384" width="1.75" style="22" hidden="1" customWidth="1"/>
  </cols>
  <sheetData>
    <row r="1" spans="2:14" x14ac:dyDescent="0.35"/>
    <row r="2" spans="2:14" ht="30.75" x14ac:dyDescent="0.35">
      <c r="B2" s="23" t="s">
        <v>5</v>
      </c>
      <c r="C2" s="24"/>
      <c r="D2" s="24"/>
      <c r="E2" s="24"/>
      <c r="F2" s="24"/>
      <c r="G2" s="24"/>
      <c r="H2" s="24"/>
      <c r="I2" s="24"/>
      <c r="J2" s="24"/>
      <c r="K2" s="24"/>
      <c r="L2" s="24"/>
      <c r="M2" s="25"/>
    </row>
    <row r="3" spans="2:14" ht="15" customHeight="1" x14ac:dyDescent="0.35">
      <c r="B3" s="38" t="s">
        <v>1621</v>
      </c>
      <c r="C3" s="39" t="s">
        <v>6</v>
      </c>
      <c r="D3" s="39"/>
      <c r="E3" s="39"/>
      <c r="F3" s="39"/>
      <c r="G3" s="39"/>
      <c r="H3" s="39"/>
      <c r="I3" s="39"/>
      <c r="J3" s="39"/>
      <c r="K3" s="39"/>
      <c r="L3" s="39"/>
      <c r="M3" s="40"/>
    </row>
    <row r="4" spans="2:14" ht="35.25" customHeight="1" x14ac:dyDescent="0.35">
      <c r="B4" s="35" t="s">
        <v>1624</v>
      </c>
      <c r="C4" s="36"/>
      <c r="D4" s="36"/>
      <c r="E4" s="36"/>
      <c r="F4" s="36"/>
      <c r="G4" s="36"/>
      <c r="H4" s="36"/>
      <c r="I4" s="36"/>
      <c r="J4" s="36"/>
      <c r="K4" s="36"/>
      <c r="L4" s="36"/>
      <c r="M4" s="37"/>
    </row>
    <row r="5" spans="2:14" x14ac:dyDescent="0.35"/>
    <row r="6" spans="2:14" ht="15" customHeight="1" x14ac:dyDescent="0.35">
      <c r="B6" s="41" t="s">
        <v>7</v>
      </c>
      <c r="C6" s="42"/>
      <c r="D6" s="43"/>
      <c r="F6" s="66" t="s">
        <v>1586</v>
      </c>
      <c r="G6" s="67"/>
      <c r="H6" s="67"/>
      <c r="I6" s="67"/>
      <c r="J6" s="67"/>
      <c r="K6" s="67"/>
      <c r="L6" s="67"/>
      <c r="M6" s="68"/>
      <c r="N6" s="34"/>
    </row>
    <row r="7" spans="2:14" ht="17.25" customHeight="1" x14ac:dyDescent="0.35">
      <c r="B7" s="44"/>
      <c r="C7" s="45"/>
      <c r="D7" s="46"/>
      <c r="F7" s="69"/>
      <c r="G7" s="70"/>
      <c r="H7" s="70"/>
      <c r="I7" s="70"/>
      <c r="J7" s="70"/>
      <c r="K7" s="70"/>
      <c r="L7" s="70"/>
      <c r="M7" s="71"/>
      <c r="N7" s="34"/>
    </row>
    <row r="8" spans="2:14" ht="17.25" customHeight="1" x14ac:dyDescent="0.35"/>
    <row r="9" spans="2:14" ht="19.5" x14ac:dyDescent="0.35">
      <c r="B9" s="57" t="s">
        <v>8</v>
      </c>
      <c r="C9" s="58"/>
      <c r="D9" s="59"/>
      <c r="F9" s="66" t="s">
        <v>1625</v>
      </c>
      <c r="G9" s="67"/>
      <c r="H9" s="67"/>
      <c r="I9" s="67"/>
      <c r="J9" s="67"/>
      <c r="K9" s="67"/>
      <c r="L9" s="67"/>
      <c r="M9" s="68"/>
      <c r="N9" s="34"/>
    </row>
    <row r="10" spans="2:14" ht="17.25" customHeight="1" x14ac:dyDescent="0.35">
      <c r="B10" s="60"/>
      <c r="C10" s="61"/>
      <c r="D10" s="62"/>
      <c r="F10" s="75" t="s">
        <v>1626</v>
      </c>
      <c r="G10" s="76"/>
      <c r="H10" s="76"/>
      <c r="I10" s="76"/>
      <c r="J10" s="76"/>
      <c r="K10" s="76"/>
      <c r="L10" s="76"/>
      <c r="M10" s="77"/>
      <c r="N10" s="32"/>
    </row>
    <row r="11" spans="2:14" ht="15" customHeight="1" x14ac:dyDescent="0.35">
      <c r="B11" s="60"/>
      <c r="C11" s="61"/>
      <c r="D11" s="62"/>
      <c r="F11" s="75"/>
      <c r="G11" s="76"/>
      <c r="H11" s="76"/>
      <c r="I11" s="76"/>
      <c r="J11" s="76"/>
      <c r="K11" s="76"/>
      <c r="L11" s="76"/>
      <c r="M11" s="77"/>
      <c r="N11" s="32"/>
    </row>
    <row r="12" spans="2:14" ht="17.25" customHeight="1" x14ac:dyDescent="0.35">
      <c r="B12" s="60"/>
      <c r="C12" s="61"/>
      <c r="D12" s="62"/>
      <c r="F12" s="75"/>
      <c r="G12" s="76"/>
      <c r="H12" s="76"/>
      <c r="I12" s="76"/>
      <c r="J12" s="76"/>
      <c r="K12" s="76"/>
      <c r="L12" s="76"/>
      <c r="M12" s="77"/>
      <c r="N12" s="32"/>
    </row>
    <row r="13" spans="2:14" ht="17.25" customHeight="1" x14ac:dyDescent="0.35">
      <c r="B13" s="60"/>
      <c r="C13" s="61"/>
      <c r="D13" s="62"/>
      <c r="F13" s="75"/>
      <c r="G13" s="76"/>
      <c r="H13" s="76"/>
      <c r="I13" s="76"/>
      <c r="J13" s="76"/>
      <c r="K13" s="76"/>
      <c r="L13" s="76"/>
      <c r="M13" s="77"/>
      <c r="N13" s="32"/>
    </row>
    <row r="14" spans="2:14" ht="17.25" customHeight="1" x14ac:dyDescent="0.35">
      <c r="B14" s="60"/>
      <c r="C14" s="61"/>
      <c r="D14" s="62"/>
      <c r="F14" s="75"/>
      <c r="G14" s="76"/>
      <c r="H14" s="76"/>
      <c r="I14" s="76"/>
      <c r="J14" s="76"/>
      <c r="K14" s="76"/>
      <c r="L14" s="76"/>
      <c r="M14" s="77"/>
      <c r="N14" s="32"/>
    </row>
    <row r="15" spans="2:14" ht="17.25" customHeight="1" x14ac:dyDescent="0.35">
      <c r="B15" s="63"/>
      <c r="C15" s="64"/>
      <c r="D15" s="65"/>
      <c r="F15" s="78"/>
      <c r="G15" s="79"/>
      <c r="H15" s="79"/>
      <c r="I15" s="79"/>
      <c r="J15" s="79"/>
      <c r="K15" s="79"/>
      <c r="L15" s="79"/>
      <c r="M15" s="80"/>
      <c r="N15" s="32"/>
    </row>
    <row r="16" spans="2:14" ht="17.25" customHeight="1" x14ac:dyDescent="0.35">
      <c r="N16" s="26"/>
    </row>
    <row r="17" spans="2:14" ht="15" customHeight="1" x14ac:dyDescent="0.35">
      <c r="B17" s="57" t="s">
        <v>9</v>
      </c>
      <c r="C17" s="58"/>
      <c r="D17" s="59"/>
      <c r="F17" s="66" t="s">
        <v>1627</v>
      </c>
      <c r="G17" s="67"/>
      <c r="H17" s="67"/>
      <c r="I17" s="67"/>
      <c r="J17" s="67"/>
      <c r="K17" s="67"/>
      <c r="L17" s="67"/>
      <c r="M17" s="68"/>
      <c r="N17" s="26"/>
    </row>
    <row r="18" spans="2:14" x14ac:dyDescent="0.35">
      <c r="B18" s="60"/>
      <c r="C18" s="61"/>
      <c r="D18" s="62"/>
      <c r="F18" s="72"/>
      <c r="G18" s="73"/>
      <c r="H18" s="73"/>
      <c r="I18" s="73"/>
      <c r="J18" s="73"/>
      <c r="K18" s="73"/>
      <c r="L18" s="73"/>
      <c r="M18" s="74"/>
      <c r="N18" s="26"/>
    </row>
    <row r="19" spans="2:14" x14ac:dyDescent="0.35">
      <c r="B19" s="60"/>
      <c r="C19" s="61"/>
      <c r="D19" s="62"/>
      <c r="F19" s="72"/>
      <c r="G19" s="73"/>
      <c r="H19" s="73"/>
      <c r="I19" s="73"/>
      <c r="J19" s="73"/>
      <c r="K19" s="73"/>
      <c r="L19" s="73"/>
      <c r="M19" s="74"/>
      <c r="N19" s="26"/>
    </row>
    <row r="20" spans="2:14" x14ac:dyDescent="0.35">
      <c r="B20" s="60"/>
      <c r="C20" s="61"/>
      <c r="D20" s="62"/>
      <c r="F20" s="72"/>
      <c r="G20" s="73"/>
      <c r="H20" s="73"/>
      <c r="I20" s="73"/>
      <c r="J20" s="73"/>
      <c r="K20" s="73"/>
      <c r="L20" s="73"/>
      <c r="M20" s="74"/>
      <c r="N20" s="26"/>
    </row>
    <row r="21" spans="2:14" x14ac:dyDescent="0.35">
      <c r="B21" s="60"/>
      <c r="C21" s="61"/>
      <c r="D21" s="62"/>
      <c r="F21" s="72"/>
      <c r="G21" s="73"/>
      <c r="H21" s="73"/>
      <c r="I21" s="73"/>
      <c r="J21" s="73"/>
      <c r="K21" s="73"/>
      <c r="L21" s="73"/>
      <c r="M21" s="74"/>
      <c r="N21" s="26"/>
    </row>
    <row r="22" spans="2:14" ht="17.25" customHeight="1" x14ac:dyDescent="0.35">
      <c r="B22" s="63"/>
      <c r="C22" s="64"/>
      <c r="D22" s="65"/>
      <c r="F22" s="69"/>
      <c r="G22" s="70"/>
      <c r="H22" s="70"/>
      <c r="I22" s="70"/>
      <c r="J22" s="70"/>
      <c r="K22" s="70"/>
      <c r="L22" s="70"/>
      <c r="M22" s="71"/>
    </row>
    <row r="23" spans="2:14" ht="17.25" customHeight="1" x14ac:dyDescent="0.35">
      <c r="N23" s="33"/>
    </row>
    <row r="24" spans="2:14" ht="15" customHeight="1" x14ac:dyDescent="0.35">
      <c r="B24" s="56" t="s">
        <v>10</v>
      </c>
      <c r="C24" s="56"/>
      <c r="D24" s="56"/>
      <c r="F24" s="47" t="s">
        <v>1614</v>
      </c>
      <c r="G24" s="48"/>
      <c r="H24" s="48"/>
      <c r="I24" s="48"/>
      <c r="J24" s="48"/>
      <c r="K24" s="48"/>
      <c r="L24" s="48"/>
      <c r="M24" s="49"/>
      <c r="N24" s="33"/>
    </row>
    <row r="25" spans="2:14" ht="17.25" customHeight="1" x14ac:dyDescent="0.35">
      <c r="B25" s="56"/>
      <c r="C25" s="56"/>
      <c r="D25" s="56"/>
      <c r="F25" s="50"/>
      <c r="G25" s="51"/>
      <c r="H25" s="51"/>
      <c r="I25" s="51"/>
      <c r="J25" s="51"/>
      <c r="K25" s="51"/>
      <c r="L25" s="51"/>
      <c r="M25" s="52"/>
      <c r="N25" s="33"/>
    </row>
    <row r="26" spans="2:14" ht="6.75" customHeight="1" x14ac:dyDescent="0.35">
      <c r="B26" s="56"/>
      <c r="C26" s="56"/>
      <c r="D26" s="56"/>
      <c r="F26" s="50"/>
      <c r="G26" s="51"/>
      <c r="H26" s="51"/>
      <c r="I26" s="51"/>
      <c r="J26" s="51"/>
      <c r="K26" s="51"/>
      <c r="L26" s="51"/>
      <c r="M26" s="52"/>
      <c r="N26" s="33"/>
    </row>
    <row r="27" spans="2:14" ht="6.75" customHeight="1" x14ac:dyDescent="0.35">
      <c r="B27" s="56"/>
      <c r="C27" s="56"/>
      <c r="D27" s="56"/>
      <c r="F27" s="50"/>
      <c r="G27" s="51"/>
      <c r="H27" s="51"/>
      <c r="I27" s="51"/>
      <c r="J27" s="51"/>
      <c r="K27" s="51"/>
      <c r="L27" s="51"/>
      <c r="M27" s="52"/>
      <c r="N27" s="33"/>
    </row>
    <row r="28" spans="2:14" ht="17.25" customHeight="1" x14ac:dyDescent="0.35">
      <c r="B28" s="56"/>
      <c r="C28" s="56"/>
      <c r="D28" s="56"/>
      <c r="F28" s="50"/>
      <c r="G28" s="51"/>
      <c r="H28" s="51"/>
      <c r="I28" s="51"/>
      <c r="J28" s="51"/>
      <c r="K28" s="51"/>
      <c r="L28" s="51"/>
      <c r="M28" s="52"/>
      <c r="N28" s="33"/>
    </row>
    <row r="29" spans="2:14" ht="17.25" customHeight="1" x14ac:dyDescent="0.35">
      <c r="B29" s="56"/>
      <c r="C29" s="56"/>
      <c r="D29" s="56"/>
      <c r="F29" s="50"/>
      <c r="G29" s="51"/>
      <c r="H29" s="51"/>
      <c r="I29" s="51"/>
      <c r="J29" s="51"/>
      <c r="K29" s="51"/>
      <c r="L29" s="51"/>
      <c r="M29" s="52"/>
      <c r="N29" s="33"/>
    </row>
    <row r="30" spans="2:14" ht="17.25" customHeight="1" x14ac:dyDescent="0.35">
      <c r="B30" s="56"/>
      <c r="C30" s="56"/>
      <c r="D30" s="56"/>
      <c r="F30" s="50"/>
      <c r="G30" s="51"/>
      <c r="H30" s="51"/>
      <c r="I30" s="51"/>
      <c r="J30" s="51"/>
      <c r="K30" s="51"/>
      <c r="L30" s="51"/>
      <c r="M30" s="52"/>
      <c r="N30" s="33"/>
    </row>
    <row r="31" spans="2:14" ht="17.25" customHeight="1" x14ac:dyDescent="0.35">
      <c r="B31" s="56"/>
      <c r="C31" s="56"/>
      <c r="D31" s="56"/>
      <c r="F31" s="50"/>
      <c r="G31" s="51"/>
      <c r="H31" s="51"/>
      <c r="I31" s="51"/>
      <c r="J31" s="51"/>
      <c r="K31" s="51"/>
      <c r="L31" s="51"/>
      <c r="M31" s="52"/>
      <c r="N31" s="33"/>
    </row>
    <row r="32" spans="2:14" ht="17.25" customHeight="1" x14ac:dyDescent="0.35">
      <c r="B32" s="56"/>
      <c r="C32" s="56"/>
      <c r="D32" s="56"/>
      <c r="F32" s="50"/>
      <c r="G32" s="51"/>
      <c r="H32" s="51"/>
      <c r="I32" s="51"/>
      <c r="J32" s="51"/>
      <c r="K32" s="51"/>
      <c r="L32" s="51"/>
      <c r="M32" s="52"/>
      <c r="N32" s="33"/>
    </row>
    <row r="33" spans="2:14" ht="17.25" customHeight="1" x14ac:dyDescent="0.35">
      <c r="B33" s="56"/>
      <c r="C33" s="56"/>
      <c r="D33" s="56"/>
      <c r="F33" s="50"/>
      <c r="G33" s="51"/>
      <c r="H33" s="51"/>
      <c r="I33" s="51"/>
      <c r="J33" s="51"/>
      <c r="K33" s="51"/>
      <c r="L33" s="51"/>
      <c r="M33" s="52"/>
      <c r="N33" s="33"/>
    </row>
    <row r="34" spans="2:14" ht="17.25" customHeight="1" x14ac:dyDescent="0.35">
      <c r="B34" s="56"/>
      <c r="C34" s="56"/>
      <c r="D34" s="56"/>
      <c r="F34" s="50"/>
      <c r="G34" s="51"/>
      <c r="H34" s="51"/>
      <c r="I34" s="51"/>
      <c r="J34" s="51"/>
      <c r="K34" s="51"/>
      <c r="L34" s="51"/>
      <c r="M34" s="52"/>
      <c r="N34" s="33"/>
    </row>
    <row r="35" spans="2:14" x14ac:dyDescent="0.35">
      <c r="B35" s="56"/>
      <c r="C35" s="56"/>
      <c r="D35" s="56"/>
      <c r="F35" s="53"/>
      <c r="G35" s="54"/>
      <c r="H35" s="54"/>
      <c r="I35" s="54"/>
      <c r="J35" s="54"/>
      <c r="K35" s="54"/>
      <c r="L35" s="54"/>
      <c r="M35" s="55"/>
      <c r="N35" s="33"/>
    </row>
    <row r="39" spans="2:14" hidden="1" x14ac:dyDescent="0.35">
      <c r="B39" s="26"/>
      <c r="C39" s="26"/>
      <c r="D39" s="26"/>
      <c r="E39" s="26"/>
      <c r="F39" s="26"/>
      <c r="G39" s="26"/>
      <c r="H39" s="26"/>
      <c r="I39" s="26"/>
      <c r="J39" s="26"/>
      <c r="K39" s="26"/>
      <c r="L39" s="26"/>
    </row>
    <row r="40" spans="2:14" hidden="1" x14ac:dyDescent="0.35">
      <c r="B40" s="26"/>
      <c r="C40" s="26"/>
      <c r="D40" s="26"/>
      <c r="E40" s="26"/>
      <c r="F40" s="26"/>
      <c r="G40" s="26"/>
      <c r="H40" s="26"/>
      <c r="I40" s="26"/>
      <c r="J40" s="26"/>
      <c r="K40" s="26"/>
      <c r="L40" s="26"/>
    </row>
    <row r="41" spans="2:14" hidden="1" x14ac:dyDescent="0.35">
      <c r="B41" s="26"/>
      <c r="C41" s="26"/>
      <c r="D41" s="26"/>
      <c r="E41" s="26"/>
      <c r="F41" s="26"/>
      <c r="G41" s="26"/>
      <c r="H41" s="26"/>
      <c r="I41" s="26"/>
      <c r="J41" s="26"/>
      <c r="K41" s="26"/>
      <c r="L41" s="26"/>
    </row>
    <row r="42" spans="2:14" hidden="1" x14ac:dyDescent="0.35">
      <c r="B42" s="26"/>
      <c r="C42" s="26"/>
      <c r="D42" s="26"/>
      <c r="E42" s="26"/>
      <c r="F42" s="26"/>
      <c r="G42" s="26"/>
      <c r="H42" s="26"/>
      <c r="I42" s="26"/>
      <c r="J42" s="26"/>
      <c r="K42" s="26"/>
      <c r="L42" s="26"/>
    </row>
    <row r="43" spans="2:14" hidden="1" x14ac:dyDescent="0.35">
      <c r="B43" s="26"/>
      <c r="C43" s="26"/>
      <c r="D43" s="26"/>
      <c r="E43" s="26"/>
      <c r="F43" s="26"/>
      <c r="G43" s="26"/>
      <c r="H43" s="26"/>
      <c r="I43" s="26"/>
      <c r="J43" s="26"/>
      <c r="K43" s="26"/>
      <c r="L43" s="26"/>
    </row>
    <row r="44" spans="2:14" hidden="1" x14ac:dyDescent="0.35">
      <c r="B44" s="26"/>
      <c r="C44" s="26"/>
      <c r="D44" s="26"/>
      <c r="E44" s="26"/>
      <c r="F44" s="26"/>
      <c r="G44" s="26"/>
      <c r="H44" s="26"/>
      <c r="I44" s="26"/>
      <c r="J44" s="26"/>
      <c r="K44" s="26"/>
      <c r="L44" s="26"/>
    </row>
    <row r="48" spans="2:14" x14ac:dyDescent="0.35"/>
  </sheetData>
  <mergeCells count="11">
    <mergeCell ref="B4:M4"/>
    <mergeCell ref="B3:M3"/>
    <mergeCell ref="B6:D7"/>
    <mergeCell ref="F24:M35"/>
    <mergeCell ref="B24:D35"/>
    <mergeCell ref="B9:D15"/>
    <mergeCell ref="F6:M7"/>
    <mergeCell ref="B17:D22"/>
    <mergeCell ref="F17:M22"/>
    <mergeCell ref="F9:M9"/>
    <mergeCell ref="F10:M1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94451-0F6A-4BC0-9942-01032868BC1D}">
  <sheetPr codeName="Hoja3"/>
  <dimension ref="A1:A501"/>
  <sheetViews>
    <sheetView zoomScale="85" zoomScaleNormal="85" workbookViewId="0">
      <selection activeCell="D3" sqref="D3"/>
    </sheetView>
  </sheetViews>
  <sheetFormatPr baseColWidth="10" defaultRowHeight="17.25" x14ac:dyDescent="0.35"/>
  <sheetData>
    <row r="1" spans="1:1" x14ac:dyDescent="0.35">
      <c r="A1" t="s">
        <v>283</v>
      </c>
    </row>
    <row r="2" spans="1:1" x14ac:dyDescent="0.35">
      <c r="A2" t="s">
        <v>1048</v>
      </c>
    </row>
    <row r="3" spans="1:1" x14ac:dyDescent="0.35">
      <c r="A3" t="s">
        <v>1049</v>
      </c>
    </row>
    <row r="4" spans="1:1" x14ac:dyDescent="0.35">
      <c r="A4" t="s">
        <v>1050</v>
      </c>
    </row>
    <row r="5" spans="1:1" x14ac:dyDescent="0.35">
      <c r="A5" t="s">
        <v>1051</v>
      </c>
    </row>
    <row r="6" spans="1:1" x14ac:dyDescent="0.35">
      <c r="A6" t="s">
        <v>1052</v>
      </c>
    </row>
    <row r="7" spans="1:1" x14ac:dyDescent="0.35">
      <c r="A7" t="s">
        <v>1053</v>
      </c>
    </row>
    <row r="8" spans="1:1" x14ac:dyDescent="0.35">
      <c r="A8" t="s">
        <v>1054</v>
      </c>
    </row>
    <row r="9" spans="1:1" x14ac:dyDescent="0.35">
      <c r="A9" t="s">
        <v>1055</v>
      </c>
    </row>
    <row r="10" spans="1:1" x14ac:dyDescent="0.35">
      <c r="A10" t="s">
        <v>1056</v>
      </c>
    </row>
    <row r="11" spans="1:1" x14ac:dyDescent="0.35">
      <c r="A11" t="s">
        <v>1057</v>
      </c>
    </row>
    <row r="12" spans="1:1" x14ac:dyDescent="0.35">
      <c r="A12" t="s">
        <v>1058</v>
      </c>
    </row>
    <row r="13" spans="1:1" x14ac:dyDescent="0.35">
      <c r="A13" t="s">
        <v>1059</v>
      </c>
    </row>
    <row r="14" spans="1:1" x14ac:dyDescent="0.35">
      <c r="A14" t="s">
        <v>1060</v>
      </c>
    </row>
    <row r="15" spans="1:1" x14ac:dyDescent="0.35">
      <c r="A15" t="s">
        <v>1061</v>
      </c>
    </row>
    <row r="16" spans="1:1" x14ac:dyDescent="0.35">
      <c r="A16" t="s">
        <v>1062</v>
      </c>
    </row>
    <row r="17" spans="1:1" x14ac:dyDescent="0.35">
      <c r="A17" t="s">
        <v>1063</v>
      </c>
    </row>
    <row r="18" spans="1:1" x14ac:dyDescent="0.35">
      <c r="A18" t="s">
        <v>1064</v>
      </c>
    </row>
    <row r="19" spans="1:1" x14ac:dyDescent="0.35">
      <c r="A19" t="s">
        <v>1065</v>
      </c>
    </row>
    <row r="20" spans="1:1" x14ac:dyDescent="0.35">
      <c r="A20" t="s">
        <v>1066</v>
      </c>
    </row>
    <row r="21" spans="1:1" x14ac:dyDescent="0.35">
      <c r="A21" t="s">
        <v>1067</v>
      </c>
    </row>
    <row r="22" spans="1:1" x14ac:dyDescent="0.35">
      <c r="A22" t="s">
        <v>1068</v>
      </c>
    </row>
    <row r="23" spans="1:1" x14ac:dyDescent="0.35">
      <c r="A23" t="s">
        <v>1069</v>
      </c>
    </row>
    <row r="24" spans="1:1" x14ac:dyDescent="0.35">
      <c r="A24" t="s">
        <v>1070</v>
      </c>
    </row>
    <row r="25" spans="1:1" x14ac:dyDescent="0.35">
      <c r="A25" t="s">
        <v>1071</v>
      </c>
    </row>
    <row r="26" spans="1:1" x14ac:dyDescent="0.35">
      <c r="A26" t="s">
        <v>1072</v>
      </c>
    </row>
    <row r="27" spans="1:1" x14ac:dyDescent="0.35">
      <c r="A27" t="s">
        <v>1073</v>
      </c>
    </row>
    <row r="28" spans="1:1" x14ac:dyDescent="0.35">
      <c r="A28" t="s">
        <v>1074</v>
      </c>
    </row>
    <row r="29" spans="1:1" x14ac:dyDescent="0.35">
      <c r="A29" t="s">
        <v>1075</v>
      </c>
    </row>
    <row r="30" spans="1:1" x14ac:dyDescent="0.35">
      <c r="A30" t="s">
        <v>1076</v>
      </c>
    </row>
    <row r="31" spans="1:1" x14ac:dyDescent="0.35">
      <c r="A31" t="s">
        <v>1077</v>
      </c>
    </row>
    <row r="32" spans="1:1" x14ac:dyDescent="0.35">
      <c r="A32" t="s">
        <v>1078</v>
      </c>
    </row>
    <row r="33" spans="1:1" x14ac:dyDescent="0.35">
      <c r="A33" t="s">
        <v>1079</v>
      </c>
    </row>
    <row r="34" spans="1:1" x14ac:dyDescent="0.35">
      <c r="A34" t="s">
        <v>1080</v>
      </c>
    </row>
    <row r="35" spans="1:1" x14ac:dyDescent="0.35">
      <c r="A35" t="s">
        <v>1081</v>
      </c>
    </row>
    <row r="36" spans="1:1" x14ac:dyDescent="0.35">
      <c r="A36" t="s">
        <v>1082</v>
      </c>
    </row>
    <row r="37" spans="1:1" x14ac:dyDescent="0.35">
      <c r="A37" t="s">
        <v>1083</v>
      </c>
    </row>
    <row r="38" spans="1:1" x14ac:dyDescent="0.35">
      <c r="A38" t="s">
        <v>1084</v>
      </c>
    </row>
    <row r="39" spans="1:1" x14ac:dyDescent="0.35">
      <c r="A39" t="s">
        <v>1085</v>
      </c>
    </row>
    <row r="40" spans="1:1" x14ac:dyDescent="0.35">
      <c r="A40" t="s">
        <v>1086</v>
      </c>
    </row>
    <row r="41" spans="1:1" x14ac:dyDescent="0.35">
      <c r="A41" t="s">
        <v>1087</v>
      </c>
    </row>
    <row r="42" spans="1:1" x14ac:dyDescent="0.35">
      <c r="A42" t="s">
        <v>1088</v>
      </c>
    </row>
    <row r="43" spans="1:1" x14ac:dyDescent="0.35">
      <c r="A43" t="s">
        <v>1089</v>
      </c>
    </row>
    <row r="44" spans="1:1" x14ac:dyDescent="0.35">
      <c r="A44" t="s">
        <v>1090</v>
      </c>
    </row>
    <row r="45" spans="1:1" x14ac:dyDescent="0.35">
      <c r="A45" t="s">
        <v>1091</v>
      </c>
    </row>
    <row r="46" spans="1:1" x14ac:dyDescent="0.35">
      <c r="A46" t="s">
        <v>1092</v>
      </c>
    </row>
    <row r="47" spans="1:1" x14ac:dyDescent="0.35">
      <c r="A47" t="s">
        <v>1093</v>
      </c>
    </row>
    <row r="48" spans="1:1" x14ac:dyDescent="0.35">
      <c r="A48" t="s">
        <v>1094</v>
      </c>
    </row>
    <row r="49" spans="1:1" x14ac:dyDescent="0.35">
      <c r="A49" t="s">
        <v>1095</v>
      </c>
    </row>
    <row r="50" spans="1:1" x14ac:dyDescent="0.35">
      <c r="A50" t="s">
        <v>1096</v>
      </c>
    </row>
    <row r="51" spans="1:1" x14ac:dyDescent="0.35">
      <c r="A51" t="s">
        <v>1097</v>
      </c>
    </row>
    <row r="52" spans="1:1" x14ac:dyDescent="0.35">
      <c r="A52" t="s">
        <v>1098</v>
      </c>
    </row>
    <row r="53" spans="1:1" x14ac:dyDescent="0.35">
      <c r="A53" t="s">
        <v>1099</v>
      </c>
    </row>
    <row r="54" spans="1:1" x14ac:dyDescent="0.35">
      <c r="A54" t="s">
        <v>1100</v>
      </c>
    </row>
    <row r="55" spans="1:1" x14ac:dyDescent="0.35">
      <c r="A55" t="s">
        <v>1101</v>
      </c>
    </row>
    <row r="56" spans="1:1" x14ac:dyDescent="0.35">
      <c r="A56" t="s">
        <v>1102</v>
      </c>
    </row>
    <row r="57" spans="1:1" x14ac:dyDescent="0.35">
      <c r="A57" t="s">
        <v>1103</v>
      </c>
    </row>
    <row r="58" spans="1:1" x14ac:dyDescent="0.35">
      <c r="A58" t="s">
        <v>1104</v>
      </c>
    </row>
    <row r="59" spans="1:1" x14ac:dyDescent="0.35">
      <c r="A59" t="s">
        <v>1105</v>
      </c>
    </row>
    <row r="60" spans="1:1" x14ac:dyDescent="0.35">
      <c r="A60" t="s">
        <v>1106</v>
      </c>
    </row>
    <row r="61" spans="1:1" x14ac:dyDescent="0.35">
      <c r="A61" t="s">
        <v>1107</v>
      </c>
    </row>
    <row r="62" spans="1:1" x14ac:dyDescent="0.35">
      <c r="A62" t="s">
        <v>1108</v>
      </c>
    </row>
    <row r="63" spans="1:1" x14ac:dyDescent="0.35">
      <c r="A63" t="s">
        <v>1109</v>
      </c>
    </row>
    <row r="64" spans="1:1" x14ac:dyDescent="0.35">
      <c r="A64" t="s">
        <v>1110</v>
      </c>
    </row>
    <row r="65" spans="1:1" x14ac:dyDescent="0.35">
      <c r="A65" t="s">
        <v>1111</v>
      </c>
    </row>
    <row r="66" spans="1:1" x14ac:dyDescent="0.35">
      <c r="A66" t="s">
        <v>1112</v>
      </c>
    </row>
    <row r="67" spans="1:1" x14ac:dyDescent="0.35">
      <c r="A67" t="s">
        <v>1113</v>
      </c>
    </row>
    <row r="68" spans="1:1" x14ac:dyDescent="0.35">
      <c r="A68" t="s">
        <v>1114</v>
      </c>
    </row>
    <row r="69" spans="1:1" x14ac:dyDescent="0.35">
      <c r="A69" t="s">
        <v>1115</v>
      </c>
    </row>
    <row r="70" spans="1:1" x14ac:dyDescent="0.35">
      <c r="A70" t="s">
        <v>1116</v>
      </c>
    </row>
    <row r="71" spans="1:1" x14ac:dyDescent="0.35">
      <c r="A71" t="s">
        <v>1117</v>
      </c>
    </row>
    <row r="72" spans="1:1" x14ac:dyDescent="0.35">
      <c r="A72" t="s">
        <v>1118</v>
      </c>
    </row>
    <row r="73" spans="1:1" x14ac:dyDescent="0.35">
      <c r="A73" t="s">
        <v>1119</v>
      </c>
    </row>
    <row r="74" spans="1:1" x14ac:dyDescent="0.35">
      <c r="A74" t="s">
        <v>1120</v>
      </c>
    </row>
    <row r="75" spans="1:1" x14ac:dyDescent="0.35">
      <c r="A75" t="s">
        <v>1121</v>
      </c>
    </row>
    <row r="76" spans="1:1" x14ac:dyDescent="0.35">
      <c r="A76" t="s">
        <v>1122</v>
      </c>
    </row>
    <row r="77" spans="1:1" x14ac:dyDescent="0.35">
      <c r="A77" t="s">
        <v>1123</v>
      </c>
    </row>
    <row r="78" spans="1:1" x14ac:dyDescent="0.35">
      <c r="A78" t="s">
        <v>1124</v>
      </c>
    </row>
    <row r="79" spans="1:1" x14ac:dyDescent="0.35">
      <c r="A79" t="s">
        <v>1125</v>
      </c>
    </row>
    <row r="80" spans="1:1" x14ac:dyDescent="0.35">
      <c r="A80" t="s">
        <v>1126</v>
      </c>
    </row>
    <row r="81" spans="1:1" x14ac:dyDescent="0.35">
      <c r="A81" t="s">
        <v>1127</v>
      </c>
    </row>
    <row r="82" spans="1:1" x14ac:dyDescent="0.35">
      <c r="A82" t="s">
        <v>1128</v>
      </c>
    </row>
    <row r="83" spans="1:1" x14ac:dyDescent="0.35">
      <c r="A83" t="s">
        <v>1129</v>
      </c>
    </row>
    <row r="84" spans="1:1" x14ac:dyDescent="0.35">
      <c r="A84" t="s">
        <v>1130</v>
      </c>
    </row>
    <row r="85" spans="1:1" x14ac:dyDescent="0.35">
      <c r="A85" t="s">
        <v>1131</v>
      </c>
    </row>
    <row r="86" spans="1:1" x14ac:dyDescent="0.35">
      <c r="A86" t="s">
        <v>1132</v>
      </c>
    </row>
    <row r="87" spans="1:1" x14ac:dyDescent="0.35">
      <c r="A87" t="s">
        <v>1133</v>
      </c>
    </row>
    <row r="88" spans="1:1" x14ac:dyDescent="0.35">
      <c r="A88" t="s">
        <v>1134</v>
      </c>
    </row>
    <row r="89" spans="1:1" x14ac:dyDescent="0.35">
      <c r="A89" t="s">
        <v>1135</v>
      </c>
    </row>
    <row r="90" spans="1:1" x14ac:dyDescent="0.35">
      <c r="A90" t="s">
        <v>1136</v>
      </c>
    </row>
    <row r="91" spans="1:1" x14ac:dyDescent="0.35">
      <c r="A91" t="s">
        <v>1137</v>
      </c>
    </row>
    <row r="92" spans="1:1" x14ac:dyDescent="0.35">
      <c r="A92" t="s">
        <v>1138</v>
      </c>
    </row>
    <row r="93" spans="1:1" x14ac:dyDescent="0.35">
      <c r="A93" t="s">
        <v>1139</v>
      </c>
    </row>
    <row r="94" spans="1:1" x14ac:dyDescent="0.35">
      <c r="A94" t="s">
        <v>1140</v>
      </c>
    </row>
    <row r="95" spans="1:1" x14ac:dyDescent="0.35">
      <c r="A95" t="s">
        <v>1141</v>
      </c>
    </row>
    <row r="96" spans="1:1" x14ac:dyDescent="0.35">
      <c r="A96" t="s">
        <v>1142</v>
      </c>
    </row>
    <row r="97" spans="1:1" x14ac:dyDescent="0.35">
      <c r="A97" t="s">
        <v>1143</v>
      </c>
    </row>
    <row r="98" spans="1:1" x14ac:dyDescent="0.35">
      <c r="A98" t="s">
        <v>1144</v>
      </c>
    </row>
    <row r="99" spans="1:1" x14ac:dyDescent="0.35">
      <c r="A99" t="s">
        <v>1145</v>
      </c>
    </row>
    <row r="100" spans="1:1" x14ac:dyDescent="0.35">
      <c r="A100" t="s">
        <v>1146</v>
      </c>
    </row>
    <row r="101" spans="1:1" x14ac:dyDescent="0.35">
      <c r="A101" t="s">
        <v>1147</v>
      </c>
    </row>
    <row r="102" spans="1:1" x14ac:dyDescent="0.35">
      <c r="A102" t="s">
        <v>1148</v>
      </c>
    </row>
    <row r="103" spans="1:1" x14ac:dyDescent="0.35">
      <c r="A103" t="s">
        <v>1149</v>
      </c>
    </row>
    <row r="104" spans="1:1" x14ac:dyDescent="0.35">
      <c r="A104" t="s">
        <v>1150</v>
      </c>
    </row>
    <row r="105" spans="1:1" x14ac:dyDescent="0.35">
      <c r="A105" t="s">
        <v>1151</v>
      </c>
    </row>
    <row r="106" spans="1:1" x14ac:dyDescent="0.35">
      <c r="A106" t="s">
        <v>1152</v>
      </c>
    </row>
    <row r="107" spans="1:1" x14ac:dyDescent="0.35">
      <c r="A107" t="s">
        <v>1153</v>
      </c>
    </row>
    <row r="108" spans="1:1" x14ac:dyDescent="0.35">
      <c r="A108" t="s">
        <v>1154</v>
      </c>
    </row>
    <row r="109" spans="1:1" x14ac:dyDescent="0.35">
      <c r="A109" t="s">
        <v>1155</v>
      </c>
    </row>
    <row r="110" spans="1:1" x14ac:dyDescent="0.35">
      <c r="A110" t="s">
        <v>1156</v>
      </c>
    </row>
    <row r="111" spans="1:1" x14ac:dyDescent="0.35">
      <c r="A111" t="s">
        <v>1157</v>
      </c>
    </row>
    <row r="112" spans="1:1" x14ac:dyDescent="0.35">
      <c r="A112" t="s">
        <v>1158</v>
      </c>
    </row>
    <row r="113" spans="1:1" x14ac:dyDescent="0.35">
      <c r="A113" t="s">
        <v>1159</v>
      </c>
    </row>
    <row r="114" spans="1:1" x14ac:dyDescent="0.35">
      <c r="A114" t="s">
        <v>1160</v>
      </c>
    </row>
    <row r="115" spans="1:1" x14ac:dyDescent="0.35">
      <c r="A115" t="s">
        <v>1161</v>
      </c>
    </row>
    <row r="116" spans="1:1" x14ac:dyDescent="0.35">
      <c r="A116" t="s">
        <v>1162</v>
      </c>
    </row>
    <row r="117" spans="1:1" x14ac:dyDescent="0.35">
      <c r="A117" t="s">
        <v>1163</v>
      </c>
    </row>
    <row r="118" spans="1:1" x14ac:dyDescent="0.35">
      <c r="A118" t="s">
        <v>1164</v>
      </c>
    </row>
    <row r="119" spans="1:1" x14ac:dyDescent="0.35">
      <c r="A119" t="s">
        <v>1165</v>
      </c>
    </row>
    <row r="120" spans="1:1" x14ac:dyDescent="0.35">
      <c r="A120" t="s">
        <v>1166</v>
      </c>
    </row>
    <row r="121" spans="1:1" x14ac:dyDescent="0.35">
      <c r="A121" t="s">
        <v>1167</v>
      </c>
    </row>
    <row r="122" spans="1:1" x14ac:dyDescent="0.35">
      <c r="A122" t="s">
        <v>1168</v>
      </c>
    </row>
    <row r="123" spans="1:1" x14ac:dyDescent="0.35">
      <c r="A123" t="s">
        <v>1169</v>
      </c>
    </row>
    <row r="124" spans="1:1" x14ac:dyDescent="0.35">
      <c r="A124" t="s">
        <v>1170</v>
      </c>
    </row>
    <row r="125" spans="1:1" x14ac:dyDescent="0.35">
      <c r="A125" t="s">
        <v>1171</v>
      </c>
    </row>
    <row r="126" spans="1:1" x14ac:dyDescent="0.35">
      <c r="A126" t="s">
        <v>1172</v>
      </c>
    </row>
    <row r="127" spans="1:1" x14ac:dyDescent="0.35">
      <c r="A127" t="s">
        <v>1173</v>
      </c>
    </row>
    <row r="128" spans="1:1" x14ac:dyDescent="0.35">
      <c r="A128" t="s">
        <v>1174</v>
      </c>
    </row>
    <row r="129" spans="1:1" x14ac:dyDescent="0.35">
      <c r="A129" t="s">
        <v>1175</v>
      </c>
    </row>
    <row r="130" spans="1:1" x14ac:dyDescent="0.35">
      <c r="A130" t="s">
        <v>1176</v>
      </c>
    </row>
    <row r="131" spans="1:1" x14ac:dyDescent="0.35">
      <c r="A131" t="s">
        <v>1177</v>
      </c>
    </row>
    <row r="132" spans="1:1" x14ac:dyDescent="0.35">
      <c r="A132" t="s">
        <v>1178</v>
      </c>
    </row>
    <row r="133" spans="1:1" x14ac:dyDescent="0.35">
      <c r="A133" t="s">
        <v>1179</v>
      </c>
    </row>
    <row r="134" spans="1:1" x14ac:dyDescent="0.35">
      <c r="A134" t="s">
        <v>1180</v>
      </c>
    </row>
    <row r="135" spans="1:1" x14ac:dyDescent="0.35">
      <c r="A135" t="s">
        <v>1181</v>
      </c>
    </row>
    <row r="136" spans="1:1" x14ac:dyDescent="0.35">
      <c r="A136" t="s">
        <v>1182</v>
      </c>
    </row>
    <row r="137" spans="1:1" x14ac:dyDescent="0.35">
      <c r="A137" t="s">
        <v>1183</v>
      </c>
    </row>
    <row r="138" spans="1:1" x14ac:dyDescent="0.35">
      <c r="A138" t="s">
        <v>1184</v>
      </c>
    </row>
    <row r="139" spans="1:1" x14ac:dyDescent="0.35">
      <c r="A139" t="s">
        <v>1185</v>
      </c>
    </row>
    <row r="140" spans="1:1" x14ac:dyDescent="0.35">
      <c r="A140" t="s">
        <v>1186</v>
      </c>
    </row>
    <row r="141" spans="1:1" x14ac:dyDescent="0.35">
      <c r="A141" t="s">
        <v>1187</v>
      </c>
    </row>
    <row r="142" spans="1:1" x14ac:dyDescent="0.35">
      <c r="A142" t="s">
        <v>1188</v>
      </c>
    </row>
    <row r="143" spans="1:1" x14ac:dyDescent="0.35">
      <c r="A143" t="s">
        <v>1189</v>
      </c>
    </row>
    <row r="144" spans="1:1" x14ac:dyDescent="0.35">
      <c r="A144" t="s">
        <v>1190</v>
      </c>
    </row>
    <row r="145" spans="1:1" x14ac:dyDescent="0.35">
      <c r="A145" t="s">
        <v>1191</v>
      </c>
    </row>
    <row r="146" spans="1:1" x14ac:dyDescent="0.35">
      <c r="A146" t="s">
        <v>1192</v>
      </c>
    </row>
    <row r="147" spans="1:1" x14ac:dyDescent="0.35">
      <c r="A147" t="s">
        <v>1193</v>
      </c>
    </row>
    <row r="148" spans="1:1" x14ac:dyDescent="0.35">
      <c r="A148" t="s">
        <v>1194</v>
      </c>
    </row>
    <row r="149" spans="1:1" x14ac:dyDescent="0.35">
      <c r="A149" t="s">
        <v>1195</v>
      </c>
    </row>
    <row r="150" spans="1:1" x14ac:dyDescent="0.35">
      <c r="A150" t="s">
        <v>1196</v>
      </c>
    </row>
    <row r="151" spans="1:1" x14ac:dyDescent="0.35">
      <c r="A151" t="s">
        <v>1197</v>
      </c>
    </row>
    <row r="152" spans="1:1" x14ac:dyDescent="0.35">
      <c r="A152" t="s">
        <v>1198</v>
      </c>
    </row>
    <row r="153" spans="1:1" x14ac:dyDescent="0.35">
      <c r="A153" t="s">
        <v>1199</v>
      </c>
    </row>
    <row r="154" spans="1:1" x14ac:dyDescent="0.35">
      <c r="A154" t="s">
        <v>1200</v>
      </c>
    </row>
    <row r="155" spans="1:1" x14ac:dyDescent="0.35">
      <c r="A155" t="s">
        <v>1201</v>
      </c>
    </row>
    <row r="156" spans="1:1" x14ac:dyDescent="0.35">
      <c r="A156" t="s">
        <v>1202</v>
      </c>
    </row>
    <row r="157" spans="1:1" x14ac:dyDescent="0.35">
      <c r="A157" t="s">
        <v>1203</v>
      </c>
    </row>
    <row r="158" spans="1:1" x14ac:dyDescent="0.35">
      <c r="A158" t="s">
        <v>1204</v>
      </c>
    </row>
    <row r="159" spans="1:1" x14ac:dyDescent="0.35">
      <c r="A159" t="s">
        <v>1205</v>
      </c>
    </row>
    <row r="160" spans="1:1" x14ac:dyDescent="0.35">
      <c r="A160" t="s">
        <v>1206</v>
      </c>
    </row>
    <row r="161" spans="1:1" x14ac:dyDescent="0.35">
      <c r="A161" t="s">
        <v>1207</v>
      </c>
    </row>
    <row r="162" spans="1:1" x14ac:dyDescent="0.35">
      <c r="A162" t="s">
        <v>1208</v>
      </c>
    </row>
    <row r="163" spans="1:1" x14ac:dyDescent="0.35">
      <c r="A163" t="s">
        <v>1209</v>
      </c>
    </row>
    <row r="164" spans="1:1" x14ac:dyDescent="0.35">
      <c r="A164" t="s">
        <v>1210</v>
      </c>
    </row>
    <row r="165" spans="1:1" x14ac:dyDescent="0.35">
      <c r="A165" t="s">
        <v>1211</v>
      </c>
    </row>
    <row r="166" spans="1:1" x14ac:dyDescent="0.35">
      <c r="A166" t="s">
        <v>1212</v>
      </c>
    </row>
    <row r="167" spans="1:1" x14ac:dyDescent="0.35">
      <c r="A167" t="s">
        <v>1213</v>
      </c>
    </row>
    <row r="168" spans="1:1" x14ac:dyDescent="0.35">
      <c r="A168" t="s">
        <v>1214</v>
      </c>
    </row>
    <row r="169" spans="1:1" x14ac:dyDescent="0.35">
      <c r="A169" t="s">
        <v>1215</v>
      </c>
    </row>
    <row r="170" spans="1:1" x14ac:dyDescent="0.35">
      <c r="A170" t="s">
        <v>1216</v>
      </c>
    </row>
    <row r="171" spans="1:1" x14ac:dyDescent="0.35">
      <c r="A171" t="s">
        <v>1217</v>
      </c>
    </row>
    <row r="172" spans="1:1" x14ac:dyDescent="0.35">
      <c r="A172" t="s">
        <v>1218</v>
      </c>
    </row>
    <row r="173" spans="1:1" x14ac:dyDescent="0.35">
      <c r="A173" t="s">
        <v>1219</v>
      </c>
    </row>
    <row r="174" spans="1:1" x14ac:dyDescent="0.35">
      <c r="A174" t="s">
        <v>1220</v>
      </c>
    </row>
    <row r="175" spans="1:1" x14ac:dyDescent="0.35">
      <c r="A175" t="s">
        <v>1221</v>
      </c>
    </row>
    <row r="176" spans="1:1" x14ac:dyDescent="0.35">
      <c r="A176" t="s">
        <v>1222</v>
      </c>
    </row>
    <row r="177" spans="1:1" x14ac:dyDescent="0.35">
      <c r="A177" t="s">
        <v>1223</v>
      </c>
    </row>
    <row r="178" spans="1:1" x14ac:dyDescent="0.35">
      <c r="A178" t="s">
        <v>1224</v>
      </c>
    </row>
    <row r="179" spans="1:1" x14ac:dyDescent="0.35">
      <c r="A179" t="s">
        <v>1225</v>
      </c>
    </row>
    <row r="180" spans="1:1" x14ac:dyDescent="0.35">
      <c r="A180" t="s">
        <v>1226</v>
      </c>
    </row>
    <row r="181" spans="1:1" x14ac:dyDescent="0.35">
      <c r="A181" t="s">
        <v>1227</v>
      </c>
    </row>
    <row r="182" spans="1:1" x14ac:dyDescent="0.35">
      <c r="A182" t="s">
        <v>1228</v>
      </c>
    </row>
    <row r="183" spans="1:1" x14ac:dyDescent="0.35">
      <c r="A183" t="s">
        <v>1229</v>
      </c>
    </row>
    <row r="184" spans="1:1" x14ac:dyDescent="0.35">
      <c r="A184" t="s">
        <v>1230</v>
      </c>
    </row>
    <row r="185" spans="1:1" x14ac:dyDescent="0.35">
      <c r="A185" t="s">
        <v>1231</v>
      </c>
    </row>
    <row r="186" spans="1:1" x14ac:dyDescent="0.35">
      <c r="A186" t="s">
        <v>1232</v>
      </c>
    </row>
    <row r="187" spans="1:1" x14ac:dyDescent="0.35">
      <c r="A187" t="s">
        <v>1233</v>
      </c>
    </row>
    <row r="188" spans="1:1" x14ac:dyDescent="0.35">
      <c r="A188" t="s">
        <v>1234</v>
      </c>
    </row>
    <row r="189" spans="1:1" x14ac:dyDescent="0.35">
      <c r="A189" t="s">
        <v>1235</v>
      </c>
    </row>
    <row r="190" spans="1:1" x14ac:dyDescent="0.35">
      <c r="A190" t="s">
        <v>1236</v>
      </c>
    </row>
    <row r="191" spans="1:1" x14ac:dyDescent="0.35">
      <c r="A191" t="s">
        <v>1237</v>
      </c>
    </row>
    <row r="192" spans="1:1" x14ac:dyDescent="0.35">
      <c r="A192" t="s">
        <v>1238</v>
      </c>
    </row>
    <row r="193" spans="1:1" x14ac:dyDescent="0.35">
      <c r="A193" t="s">
        <v>1239</v>
      </c>
    </row>
    <row r="194" spans="1:1" x14ac:dyDescent="0.35">
      <c r="A194" t="s">
        <v>1240</v>
      </c>
    </row>
    <row r="195" spans="1:1" x14ac:dyDescent="0.35">
      <c r="A195" t="s">
        <v>1241</v>
      </c>
    </row>
    <row r="196" spans="1:1" x14ac:dyDescent="0.35">
      <c r="A196" t="s">
        <v>1242</v>
      </c>
    </row>
    <row r="197" spans="1:1" x14ac:dyDescent="0.35">
      <c r="A197" t="s">
        <v>1243</v>
      </c>
    </row>
    <row r="198" spans="1:1" x14ac:dyDescent="0.35">
      <c r="A198" t="s">
        <v>1244</v>
      </c>
    </row>
    <row r="199" spans="1:1" x14ac:dyDescent="0.35">
      <c r="A199" t="s">
        <v>1245</v>
      </c>
    </row>
    <row r="200" spans="1:1" x14ac:dyDescent="0.35">
      <c r="A200" t="s">
        <v>1246</v>
      </c>
    </row>
    <row r="201" spans="1:1" x14ac:dyDescent="0.35">
      <c r="A201" t="s">
        <v>1247</v>
      </c>
    </row>
    <row r="202" spans="1:1" x14ac:dyDescent="0.35">
      <c r="A202" t="s">
        <v>1248</v>
      </c>
    </row>
    <row r="203" spans="1:1" x14ac:dyDescent="0.35">
      <c r="A203" t="s">
        <v>1249</v>
      </c>
    </row>
    <row r="204" spans="1:1" x14ac:dyDescent="0.35">
      <c r="A204" t="s">
        <v>1250</v>
      </c>
    </row>
    <row r="205" spans="1:1" x14ac:dyDescent="0.35">
      <c r="A205" t="s">
        <v>1251</v>
      </c>
    </row>
    <row r="206" spans="1:1" x14ac:dyDescent="0.35">
      <c r="A206" t="s">
        <v>1252</v>
      </c>
    </row>
    <row r="207" spans="1:1" x14ac:dyDescent="0.35">
      <c r="A207" t="s">
        <v>1253</v>
      </c>
    </row>
    <row r="208" spans="1:1" x14ac:dyDescent="0.35">
      <c r="A208" t="s">
        <v>1254</v>
      </c>
    </row>
    <row r="209" spans="1:1" x14ac:dyDescent="0.35">
      <c r="A209" t="s">
        <v>1255</v>
      </c>
    </row>
    <row r="210" spans="1:1" x14ac:dyDescent="0.35">
      <c r="A210" t="s">
        <v>1256</v>
      </c>
    </row>
    <row r="211" spans="1:1" x14ac:dyDescent="0.35">
      <c r="A211" t="s">
        <v>1257</v>
      </c>
    </row>
    <row r="212" spans="1:1" x14ac:dyDescent="0.35">
      <c r="A212" t="s">
        <v>1258</v>
      </c>
    </row>
    <row r="213" spans="1:1" x14ac:dyDescent="0.35">
      <c r="A213" t="s">
        <v>1259</v>
      </c>
    </row>
    <row r="214" spans="1:1" x14ac:dyDescent="0.35">
      <c r="A214" t="s">
        <v>1260</v>
      </c>
    </row>
    <row r="215" spans="1:1" x14ac:dyDescent="0.35">
      <c r="A215" t="s">
        <v>1261</v>
      </c>
    </row>
    <row r="216" spans="1:1" x14ac:dyDescent="0.35">
      <c r="A216" t="s">
        <v>1262</v>
      </c>
    </row>
    <row r="217" spans="1:1" x14ac:dyDescent="0.35">
      <c r="A217" t="s">
        <v>1263</v>
      </c>
    </row>
    <row r="218" spans="1:1" x14ac:dyDescent="0.35">
      <c r="A218" t="s">
        <v>1264</v>
      </c>
    </row>
    <row r="219" spans="1:1" x14ac:dyDescent="0.35">
      <c r="A219" t="s">
        <v>1265</v>
      </c>
    </row>
    <row r="220" spans="1:1" x14ac:dyDescent="0.35">
      <c r="A220" t="s">
        <v>1266</v>
      </c>
    </row>
    <row r="221" spans="1:1" x14ac:dyDescent="0.35">
      <c r="A221" t="s">
        <v>1267</v>
      </c>
    </row>
    <row r="222" spans="1:1" x14ac:dyDescent="0.35">
      <c r="A222" t="s">
        <v>1268</v>
      </c>
    </row>
    <row r="223" spans="1:1" x14ac:dyDescent="0.35">
      <c r="A223" t="s">
        <v>1269</v>
      </c>
    </row>
    <row r="224" spans="1:1" x14ac:dyDescent="0.35">
      <c r="A224" t="s">
        <v>1270</v>
      </c>
    </row>
    <row r="225" spans="1:1" x14ac:dyDescent="0.35">
      <c r="A225" t="s">
        <v>1271</v>
      </c>
    </row>
    <row r="226" spans="1:1" x14ac:dyDescent="0.35">
      <c r="A226" t="s">
        <v>1272</v>
      </c>
    </row>
    <row r="227" spans="1:1" x14ac:dyDescent="0.35">
      <c r="A227" t="s">
        <v>1273</v>
      </c>
    </row>
    <row r="228" spans="1:1" x14ac:dyDescent="0.35">
      <c r="A228" t="s">
        <v>1274</v>
      </c>
    </row>
    <row r="229" spans="1:1" x14ac:dyDescent="0.35">
      <c r="A229" t="s">
        <v>1275</v>
      </c>
    </row>
    <row r="230" spans="1:1" x14ac:dyDescent="0.35">
      <c r="A230" t="s">
        <v>1276</v>
      </c>
    </row>
    <row r="231" spans="1:1" x14ac:dyDescent="0.35">
      <c r="A231" t="s">
        <v>1277</v>
      </c>
    </row>
    <row r="232" spans="1:1" x14ac:dyDescent="0.35">
      <c r="A232" t="s">
        <v>1278</v>
      </c>
    </row>
    <row r="233" spans="1:1" x14ac:dyDescent="0.35">
      <c r="A233" t="s">
        <v>1279</v>
      </c>
    </row>
    <row r="234" spans="1:1" x14ac:dyDescent="0.35">
      <c r="A234" t="s">
        <v>1280</v>
      </c>
    </row>
    <row r="235" spans="1:1" x14ac:dyDescent="0.35">
      <c r="A235" t="s">
        <v>1281</v>
      </c>
    </row>
    <row r="236" spans="1:1" x14ac:dyDescent="0.35">
      <c r="A236" t="s">
        <v>1282</v>
      </c>
    </row>
    <row r="237" spans="1:1" x14ac:dyDescent="0.35">
      <c r="A237" t="s">
        <v>1283</v>
      </c>
    </row>
    <row r="238" spans="1:1" x14ac:dyDescent="0.35">
      <c r="A238" t="s">
        <v>1284</v>
      </c>
    </row>
    <row r="239" spans="1:1" x14ac:dyDescent="0.35">
      <c r="A239" t="s">
        <v>1285</v>
      </c>
    </row>
    <row r="240" spans="1:1" x14ac:dyDescent="0.35">
      <c r="A240" t="s">
        <v>1286</v>
      </c>
    </row>
    <row r="241" spans="1:1" x14ac:dyDescent="0.35">
      <c r="A241" t="s">
        <v>1287</v>
      </c>
    </row>
    <row r="242" spans="1:1" x14ac:dyDescent="0.35">
      <c r="A242" t="s">
        <v>1288</v>
      </c>
    </row>
    <row r="243" spans="1:1" x14ac:dyDescent="0.35">
      <c r="A243" t="s">
        <v>1289</v>
      </c>
    </row>
    <row r="244" spans="1:1" x14ac:dyDescent="0.35">
      <c r="A244" t="s">
        <v>1290</v>
      </c>
    </row>
    <row r="245" spans="1:1" x14ac:dyDescent="0.35">
      <c r="A245" t="s">
        <v>1291</v>
      </c>
    </row>
    <row r="246" spans="1:1" x14ac:dyDescent="0.35">
      <c r="A246" t="s">
        <v>1292</v>
      </c>
    </row>
    <row r="247" spans="1:1" x14ac:dyDescent="0.35">
      <c r="A247" t="s">
        <v>1293</v>
      </c>
    </row>
    <row r="248" spans="1:1" x14ac:dyDescent="0.35">
      <c r="A248" t="s">
        <v>1294</v>
      </c>
    </row>
    <row r="249" spans="1:1" x14ac:dyDescent="0.35">
      <c r="A249" t="s">
        <v>1295</v>
      </c>
    </row>
    <row r="250" spans="1:1" x14ac:dyDescent="0.35">
      <c r="A250" t="s">
        <v>1296</v>
      </c>
    </row>
    <row r="251" spans="1:1" x14ac:dyDescent="0.35">
      <c r="A251" t="s">
        <v>1297</v>
      </c>
    </row>
    <row r="252" spans="1:1" x14ac:dyDescent="0.35">
      <c r="A252" t="s">
        <v>1298</v>
      </c>
    </row>
    <row r="253" spans="1:1" x14ac:dyDescent="0.35">
      <c r="A253" t="s">
        <v>1299</v>
      </c>
    </row>
    <row r="254" spans="1:1" x14ac:dyDescent="0.35">
      <c r="A254" t="s">
        <v>1300</v>
      </c>
    </row>
    <row r="255" spans="1:1" x14ac:dyDescent="0.35">
      <c r="A255" t="s">
        <v>1301</v>
      </c>
    </row>
    <row r="256" spans="1:1" x14ac:dyDescent="0.35">
      <c r="A256" t="s">
        <v>1302</v>
      </c>
    </row>
    <row r="257" spans="1:1" x14ac:dyDescent="0.35">
      <c r="A257" t="s">
        <v>1303</v>
      </c>
    </row>
    <row r="258" spans="1:1" x14ac:dyDescent="0.35">
      <c r="A258" t="s">
        <v>1304</v>
      </c>
    </row>
    <row r="259" spans="1:1" x14ac:dyDescent="0.35">
      <c r="A259" t="s">
        <v>1305</v>
      </c>
    </row>
    <row r="260" spans="1:1" x14ac:dyDescent="0.35">
      <c r="A260" t="s">
        <v>1306</v>
      </c>
    </row>
    <row r="261" spans="1:1" x14ac:dyDescent="0.35">
      <c r="A261" t="s">
        <v>1307</v>
      </c>
    </row>
    <row r="262" spans="1:1" x14ac:dyDescent="0.35">
      <c r="A262" t="s">
        <v>1308</v>
      </c>
    </row>
    <row r="263" spans="1:1" x14ac:dyDescent="0.35">
      <c r="A263" t="s">
        <v>1309</v>
      </c>
    </row>
    <row r="264" spans="1:1" x14ac:dyDescent="0.35">
      <c r="A264" t="s">
        <v>1310</v>
      </c>
    </row>
    <row r="265" spans="1:1" x14ac:dyDescent="0.35">
      <c r="A265" t="s">
        <v>1311</v>
      </c>
    </row>
    <row r="266" spans="1:1" x14ac:dyDescent="0.35">
      <c r="A266" t="s">
        <v>1312</v>
      </c>
    </row>
    <row r="267" spans="1:1" x14ac:dyDescent="0.35">
      <c r="A267" t="s">
        <v>1313</v>
      </c>
    </row>
    <row r="268" spans="1:1" x14ac:dyDescent="0.35">
      <c r="A268" t="s">
        <v>1314</v>
      </c>
    </row>
    <row r="269" spans="1:1" x14ac:dyDescent="0.35">
      <c r="A269" t="s">
        <v>1315</v>
      </c>
    </row>
    <row r="270" spans="1:1" x14ac:dyDescent="0.35">
      <c r="A270" t="s">
        <v>1316</v>
      </c>
    </row>
    <row r="271" spans="1:1" x14ac:dyDescent="0.35">
      <c r="A271" t="s">
        <v>1317</v>
      </c>
    </row>
    <row r="272" spans="1:1" x14ac:dyDescent="0.35">
      <c r="A272" t="s">
        <v>1318</v>
      </c>
    </row>
    <row r="273" spans="1:1" x14ac:dyDescent="0.35">
      <c r="A273" t="s">
        <v>1319</v>
      </c>
    </row>
    <row r="274" spans="1:1" x14ac:dyDescent="0.35">
      <c r="A274" t="s">
        <v>1320</v>
      </c>
    </row>
    <row r="275" spans="1:1" x14ac:dyDescent="0.35">
      <c r="A275" t="s">
        <v>1321</v>
      </c>
    </row>
    <row r="276" spans="1:1" x14ac:dyDescent="0.35">
      <c r="A276" t="s">
        <v>1322</v>
      </c>
    </row>
    <row r="277" spans="1:1" x14ac:dyDescent="0.35">
      <c r="A277" t="s">
        <v>1323</v>
      </c>
    </row>
    <row r="278" spans="1:1" x14ac:dyDescent="0.35">
      <c r="A278" t="s">
        <v>1324</v>
      </c>
    </row>
    <row r="279" spans="1:1" x14ac:dyDescent="0.35">
      <c r="A279" t="s">
        <v>1325</v>
      </c>
    </row>
    <row r="280" spans="1:1" x14ac:dyDescent="0.35">
      <c r="A280" t="s">
        <v>1326</v>
      </c>
    </row>
    <row r="281" spans="1:1" x14ac:dyDescent="0.35">
      <c r="A281" t="s">
        <v>1327</v>
      </c>
    </row>
    <row r="282" spans="1:1" x14ac:dyDescent="0.35">
      <c r="A282" t="s">
        <v>1328</v>
      </c>
    </row>
    <row r="283" spans="1:1" x14ac:dyDescent="0.35">
      <c r="A283" t="s">
        <v>1329</v>
      </c>
    </row>
    <row r="284" spans="1:1" x14ac:dyDescent="0.35">
      <c r="A284" t="s">
        <v>1330</v>
      </c>
    </row>
    <row r="285" spans="1:1" x14ac:dyDescent="0.35">
      <c r="A285" t="s">
        <v>1331</v>
      </c>
    </row>
    <row r="286" spans="1:1" x14ac:dyDescent="0.35">
      <c r="A286" t="s">
        <v>1332</v>
      </c>
    </row>
    <row r="287" spans="1:1" x14ac:dyDescent="0.35">
      <c r="A287" t="s">
        <v>1333</v>
      </c>
    </row>
    <row r="288" spans="1:1" x14ac:dyDescent="0.35">
      <c r="A288" t="s">
        <v>1334</v>
      </c>
    </row>
    <row r="289" spans="1:1" x14ac:dyDescent="0.35">
      <c r="A289" t="s">
        <v>1335</v>
      </c>
    </row>
    <row r="290" spans="1:1" x14ac:dyDescent="0.35">
      <c r="A290" t="s">
        <v>1336</v>
      </c>
    </row>
    <row r="291" spans="1:1" x14ac:dyDescent="0.35">
      <c r="A291" t="s">
        <v>1337</v>
      </c>
    </row>
    <row r="292" spans="1:1" x14ac:dyDescent="0.35">
      <c r="A292" t="s">
        <v>1338</v>
      </c>
    </row>
    <row r="293" spans="1:1" x14ac:dyDescent="0.35">
      <c r="A293" t="s">
        <v>1339</v>
      </c>
    </row>
    <row r="294" spans="1:1" x14ac:dyDescent="0.35">
      <c r="A294" t="s">
        <v>1340</v>
      </c>
    </row>
    <row r="295" spans="1:1" x14ac:dyDescent="0.35">
      <c r="A295" t="s">
        <v>1341</v>
      </c>
    </row>
    <row r="296" spans="1:1" x14ac:dyDescent="0.35">
      <c r="A296" t="s">
        <v>1342</v>
      </c>
    </row>
    <row r="297" spans="1:1" x14ac:dyDescent="0.35">
      <c r="A297" t="s">
        <v>1343</v>
      </c>
    </row>
    <row r="298" spans="1:1" x14ac:dyDescent="0.35">
      <c r="A298" t="s">
        <v>1344</v>
      </c>
    </row>
    <row r="299" spans="1:1" x14ac:dyDescent="0.35">
      <c r="A299" t="s">
        <v>1345</v>
      </c>
    </row>
    <row r="300" spans="1:1" x14ac:dyDescent="0.35">
      <c r="A300" t="s">
        <v>1346</v>
      </c>
    </row>
    <row r="301" spans="1:1" x14ac:dyDescent="0.35">
      <c r="A301" t="s">
        <v>1347</v>
      </c>
    </row>
    <row r="302" spans="1:1" x14ac:dyDescent="0.35">
      <c r="A302" t="s">
        <v>1348</v>
      </c>
    </row>
    <row r="303" spans="1:1" x14ac:dyDescent="0.35">
      <c r="A303" t="s">
        <v>1349</v>
      </c>
    </row>
    <row r="304" spans="1:1" x14ac:dyDescent="0.35">
      <c r="A304" t="s">
        <v>1350</v>
      </c>
    </row>
    <row r="305" spans="1:1" x14ac:dyDescent="0.35">
      <c r="A305" t="s">
        <v>1351</v>
      </c>
    </row>
    <row r="306" spans="1:1" x14ac:dyDescent="0.35">
      <c r="A306" t="s">
        <v>1352</v>
      </c>
    </row>
    <row r="307" spans="1:1" x14ac:dyDescent="0.35">
      <c r="A307" t="s">
        <v>1353</v>
      </c>
    </row>
    <row r="308" spans="1:1" x14ac:dyDescent="0.35">
      <c r="A308" t="s">
        <v>1354</v>
      </c>
    </row>
    <row r="309" spans="1:1" x14ac:dyDescent="0.35">
      <c r="A309" t="s">
        <v>1355</v>
      </c>
    </row>
    <row r="310" spans="1:1" x14ac:dyDescent="0.35">
      <c r="A310" t="s">
        <v>1356</v>
      </c>
    </row>
    <row r="311" spans="1:1" x14ac:dyDescent="0.35">
      <c r="A311" t="s">
        <v>1357</v>
      </c>
    </row>
    <row r="312" spans="1:1" x14ac:dyDescent="0.35">
      <c r="A312" t="s">
        <v>1358</v>
      </c>
    </row>
    <row r="313" spans="1:1" x14ac:dyDescent="0.35">
      <c r="A313" t="s">
        <v>1359</v>
      </c>
    </row>
    <row r="314" spans="1:1" x14ac:dyDescent="0.35">
      <c r="A314" t="s">
        <v>1360</v>
      </c>
    </row>
    <row r="315" spans="1:1" x14ac:dyDescent="0.35">
      <c r="A315" t="s">
        <v>1361</v>
      </c>
    </row>
    <row r="316" spans="1:1" x14ac:dyDescent="0.35">
      <c r="A316" t="s">
        <v>1362</v>
      </c>
    </row>
    <row r="317" spans="1:1" x14ac:dyDescent="0.35">
      <c r="A317" t="s">
        <v>1363</v>
      </c>
    </row>
    <row r="318" spans="1:1" x14ac:dyDescent="0.35">
      <c r="A318" t="s">
        <v>1364</v>
      </c>
    </row>
    <row r="319" spans="1:1" x14ac:dyDescent="0.35">
      <c r="A319" t="s">
        <v>1365</v>
      </c>
    </row>
    <row r="320" spans="1:1" x14ac:dyDescent="0.35">
      <c r="A320" t="s">
        <v>1366</v>
      </c>
    </row>
    <row r="321" spans="1:1" x14ac:dyDescent="0.35">
      <c r="A321" t="s">
        <v>1367</v>
      </c>
    </row>
    <row r="322" spans="1:1" x14ac:dyDescent="0.35">
      <c r="A322" t="s">
        <v>1368</v>
      </c>
    </row>
    <row r="323" spans="1:1" x14ac:dyDescent="0.35">
      <c r="A323" t="s">
        <v>1369</v>
      </c>
    </row>
    <row r="324" spans="1:1" x14ac:dyDescent="0.35">
      <c r="A324" t="s">
        <v>1370</v>
      </c>
    </row>
    <row r="325" spans="1:1" x14ac:dyDescent="0.35">
      <c r="A325" t="s">
        <v>1371</v>
      </c>
    </row>
    <row r="326" spans="1:1" x14ac:dyDescent="0.35">
      <c r="A326" t="s">
        <v>1372</v>
      </c>
    </row>
    <row r="327" spans="1:1" x14ac:dyDescent="0.35">
      <c r="A327" t="s">
        <v>1373</v>
      </c>
    </row>
    <row r="328" spans="1:1" x14ac:dyDescent="0.35">
      <c r="A328" t="s">
        <v>1374</v>
      </c>
    </row>
    <row r="329" spans="1:1" x14ac:dyDescent="0.35">
      <c r="A329" t="s">
        <v>1375</v>
      </c>
    </row>
    <row r="330" spans="1:1" x14ac:dyDescent="0.35">
      <c r="A330" t="s">
        <v>1376</v>
      </c>
    </row>
    <row r="331" spans="1:1" x14ac:dyDescent="0.35">
      <c r="A331" t="s">
        <v>1377</v>
      </c>
    </row>
    <row r="332" spans="1:1" x14ac:dyDescent="0.35">
      <c r="A332" t="s">
        <v>1378</v>
      </c>
    </row>
    <row r="333" spans="1:1" x14ac:dyDescent="0.35">
      <c r="A333" t="s">
        <v>1379</v>
      </c>
    </row>
    <row r="334" spans="1:1" x14ac:dyDescent="0.35">
      <c r="A334" t="s">
        <v>1380</v>
      </c>
    </row>
    <row r="335" spans="1:1" x14ac:dyDescent="0.35">
      <c r="A335" t="s">
        <v>1381</v>
      </c>
    </row>
    <row r="336" spans="1:1" x14ac:dyDescent="0.35">
      <c r="A336" t="s">
        <v>1382</v>
      </c>
    </row>
    <row r="337" spans="1:1" x14ac:dyDescent="0.35">
      <c r="A337" t="s">
        <v>1383</v>
      </c>
    </row>
    <row r="338" spans="1:1" x14ac:dyDescent="0.35">
      <c r="A338" t="s">
        <v>1384</v>
      </c>
    </row>
    <row r="339" spans="1:1" x14ac:dyDescent="0.35">
      <c r="A339" t="s">
        <v>1385</v>
      </c>
    </row>
    <row r="340" spans="1:1" x14ac:dyDescent="0.35">
      <c r="A340" t="s">
        <v>1386</v>
      </c>
    </row>
    <row r="341" spans="1:1" x14ac:dyDescent="0.35">
      <c r="A341" t="s">
        <v>1387</v>
      </c>
    </row>
    <row r="342" spans="1:1" x14ac:dyDescent="0.35">
      <c r="A342" t="s">
        <v>1388</v>
      </c>
    </row>
    <row r="343" spans="1:1" x14ac:dyDescent="0.35">
      <c r="A343" t="s">
        <v>1389</v>
      </c>
    </row>
    <row r="344" spans="1:1" x14ac:dyDescent="0.35">
      <c r="A344" t="s">
        <v>1390</v>
      </c>
    </row>
    <row r="345" spans="1:1" x14ac:dyDescent="0.35">
      <c r="A345" t="s">
        <v>1391</v>
      </c>
    </row>
    <row r="346" spans="1:1" x14ac:dyDescent="0.35">
      <c r="A346" t="s">
        <v>1392</v>
      </c>
    </row>
    <row r="347" spans="1:1" x14ac:dyDescent="0.35">
      <c r="A347" t="s">
        <v>1393</v>
      </c>
    </row>
    <row r="348" spans="1:1" x14ac:dyDescent="0.35">
      <c r="A348" t="s">
        <v>1394</v>
      </c>
    </row>
    <row r="349" spans="1:1" x14ac:dyDescent="0.35">
      <c r="A349" t="s">
        <v>1395</v>
      </c>
    </row>
    <row r="350" spans="1:1" x14ac:dyDescent="0.35">
      <c r="A350" t="s">
        <v>1396</v>
      </c>
    </row>
    <row r="351" spans="1:1" x14ac:dyDescent="0.35">
      <c r="A351" t="s">
        <v>1397</v>
      </c>
    </row>
    <row r="352" spans="1:1" x14ac:dyDescent="0.35">
      <c r="A352" t="s">
        <v>1398</v>
      </c>
    </row>
    <row r="353" spans="1:1" x14ac:dyDescent="0.35">
      <c r="A353" t="s">
        <v>1399</v>
      </c>
    </row>
    <row r="354" spans="1:1" x14ac:dyDescent="0.35">
      <c r="A354" t="s">
        <v>1400</v>
      </c>
    </row>
    <row r="355" spans="1:1" x14ac:dyDescent="0.35">
      <c r="A355" t="s">
        <v>1401</v>
      </c>
    </row>
    <row r="356" spans="1:1" x14ac:dyDescent="0.35">
      <c r="A356" t="s">
        <v>1402</v>
      </c>
    </row>
    <row r="357" spans="1:1" x14ac:dyDescent="0.35">
      <c r="A357" t="s">
        <v>1403</v>
      </c>
    </row>
    <row r="358" spans="1:1" x14ac:dyDescent="0.35">
      <c r="A358" t="s">
        <v>1404</v>
      </c>
    </row>
    <row r="359" spans="1:1" x14ac:dyDescent="0.35">
      <c r="A359" t="s">
        <v>1405</v>
      </c>
    </row>
    <row r="360" spans="1:1" x14ac:dyDescent="0.35">
      <c r="A360" t="s">
        <v>1406</v>
      </c>
    </row>
    <row r="361" spans="1:1" x14ac:dyDescent="0.35">
      <c r="A361" t="s">
        <v>1407</v>
      </c>
    </row>
    <row r="362" spans="1:1" x14ac:dyDescent="0.35">
      <c r="A362" t="s">
        <v>1408</v>
      </c>
    </row>
    <row r="363" spans="1:1" x14ac:dyDescent="0.35">
      <c r="A363" t="s">
        <v>1409</v>
      </c>
    </row>
    <row r="364" spans="1:1" x14ac:dyDescent="0.35">
      <c r="A364" t="s">
        <v>1410</v>
      </c>
    </row>
    <row r="365" spans="1:1" x14ac:dyDescent="0.35">
      <c r="A365" t="s">
        <v>1411</v>
      </c>
    </row>
    <row r="366" spans="1:1" x14ac:dyDescent="0.35">
      <c r="A366" t="s">
        <v>1412</v>
      </c>
    </row>
    <row r="367" spans="1:1" x14ac:dyDescent="0.35">
      <c r="A367" t="s">
        <v>1413</v>
      </c>
    </row>
    <row r="368" spans="1:1" x14ac:dyDescent="0.35">
      <c r="A368" t="s">
        <v>1414</v>
      </c>
    </row>
    <row r="369" spans="1:1" x14ac:dyDescent="0.35">
      <c r="A369" t="s">
        <v>1415</v>
      </c>
    </row>
    <row r="370" spans="1:1" x14ac:dyDescent="0.35">
      <c r="A370" t="s">
        <v>1416</v>
      </c>
    </row>
    <row r="371" spans="1:1" x14ac:dyDescent="0.35">
      <c r="A371" t="s">
        <v>1417</v>
      </c>
    </row>
    <row r="372" spans="1:1" x14ac:dyDescent="0.35">
      <c r="A372" t="s">
        <v>1418</v>
      </c>
    </row>
    <row r="373" spans="1:1" x14ac:dyDescent="0.35">
      <c r="A373" t="s">
        <v>1419</v>
      </c>
    </row>
    <row r="374" spans="1:1" x14ac:dyDescent="0.35">
      <c r="A374" t="s">
        <v>1420</v>
      </c>
    </row>
    <row r="375" spans="1:1" x14ac:dyDescent="0.35">
      <c r="A375" t="s">
        <v>1421</v>
      </c>
    </row>
    <row r="376" spans="1:1" x14ac:dyDescent="0.35">
      <c r="A376" t="s">
        <v>1422</v>
      </c>
    </row>
    <row r="377" spans="1:1" x14ac:dyDescent="0.35">
      <c r="A377" t="s">
        <v>1423</v>
      </c>
    </row>
    <row r="378" spans="1:1" x14ac:dyDescent="0.35">
      <c r="A378" t="s">
        <v>1424</v>
      </c>
    </row>
    <row r="379" spans="1:1" x14ac:dyDescent="0.35">
      <c r="A379" t="s">
        <v>1425</v>
      </c>
    </row>
    <row r="380" spans="1:1" x14ac:dyDescent="0.35">
      <c r="A380" t="s">
        <v>1426</v>
      </c>
    </row>
    <row r="381" spans="1:1" x14ac:dyDescent="0.35">
      <c r="A381" t="s">
        <v>1427</v>
      </c>
    </row>
    <row r="382" spans="1:1" x14ac:dyDescent="0.35">
      <c r="A382" t="s">
        <v>1428</v>
      </c>
    </row>
    <row r="383" spans="1:1" x14ac:dyDescent="0.35">
      <c r="A383" t="s">
        <v>1429</v>
      </c>
    </row>
    <row r="384" spans="1:1" x14ac:dyDescent="0.35">
      <c r="A384" t="s">
        <v>1430</v>
      </c>
    </row>
    <row r="385" spans="1:1" x14ac:dyDescent="0.35">
      <c r="A385" t="s">
        <v>1431</v>
      </c>
    </row>
    <row r="386" spans="1:1" x14ac:dyDescent="0.35">
      <c r="A386" t="s">
        <v>1432</v>
      </c>
    </row>
    <row r="387" spans="1:1" x14ac:dyDescent="0.35">
      <c r="A387" t="s">
        <v>1433</v>
      </c>
    </row>
    <row r="388" spans="1:1" x14ac:dyDescent="0.35">
      <c r="A388" t="s">
        <v>1434</v>
      </c>
    </row>
    <row r="389" spans="1:1" x14ac:dyDescent="0.35">
      <c r="A389" t="s">
        <v>1435</v>
      </c>
    </row>
    <row r="390" spans="1:1" x14ac:dyDescent="0.35">
      <c r="A390" t="s">
        <v>1436</v>
      </c>
    </row>
    <row r="391" spans="1:1" x14ac:dyDescent="0.35">
      <c r="A391" t="s">
        <v>1437</v>
      </c>
    </row>
    <row r="392" spans="1:1" x14ac:dyDescent="0.35">
      <c r="A392" t="s">
        <v>1438</v>
      </c>
    </row>
    <row r="393" spans="1:1" x14ac:dyDescent="0.35">
      <c r="A393" t="s">
        <v>1439</v>
      </c>
    </row>
    <row r="394" spans="1:1" x14ac:dyDescent="0.35">
      <c r="A394" t="s">
        <v>1440</v>
      </c>
    </row>
    <row r="395" spans="1:1" x14ac:dyDescent="0.35">
      <c r="A395" t="s">
        <v>1441</v>
      </c>
    </row>
    <row r="396" spans="1:1" x14ac:dyDescent="0.35">
      <c r="A396" t="s">
        <v>1442</v>
      </c>
    </row>
    <row r="397" spans="1:1" x14ac:dyDescent="0.35">
      <c r="A397" t="s">
        <v>1443</v>
      </c>
    </row>
    <row r="398" spans="1:1" x14ac:dyDescent="0.35">
      <c r="A398" t="s">
        <v>1444</v>
      </c>
    </row>
    <row r="399" spans="1:1" x14ac:dyDescent="0.35">
      <c r="A399" t="s">
        <v>1445</v>
      </c>
    </row>
    <row r="400" spans="1:1" x14ac:dyDescent="0.35">
      <c r="A400" t="s">
        <v>1446</v>
      </c>
    </row>
    <row r="401" spans="1:1" x14ac:dyDescent="0.35">
      <c r="A401" t="s">
        <v>1447</v>
      </c>
    </row>
    <row r="402" spans="1:1" x14ac:dyDescent="0.35">
      <c r="A402" t="s">
        <v>1448</v>
      </c>
    </row>
    <row r="403" spans="1:1" x14ac:dyDescent="0.35">
      <c r="A403" t="s">
        <v>1449</v>
      </c>
    </row>
    <row r="404" spans="1:1" x14ac:dyDescent="0.35">
      <c r="A404" t="s">
        <v>1450</v>
      </c>
    </row>
    <row r="405" spans="1:1" x14ac:dyDescent="0.35">
      <c r="A405" t="s">
        <v>1451</v>
      </c>
    </row>
    <row r="406" spans="1:1" x14ac:dyDescent="0.35">
      <c r="A406" t="s">
        <v>1452</v>
      </c>
    </row>
    <row r="407" spans="1:1" x14ac:dyDescent="0.35">
      <c r="A407" t="s">
        <v>1453</v>
      </c>
    </row>
    <row r="408" spans="1:1" x14ac:dyDescent="0.35">
      <c r="A408" t="s">
        <v>1454</v>
      </c>
    </row>
    <row r="409" spans="1:1" x14ac:dyDescent="0.35">
      <c r="A409" t="s">
        <v>1455</v>
      </c>
    </row>
    <row r="410" spans="1:1" x14ac:dyDescent="0.35">
      <c r="A410" t="s">
        <v>1456</v>
      </c>
    </row>
    <row r="411" spans="1:1" x14ac:dyDescent="0.35">
      <c r="A411" t="s">
        <v>1457</v>
      </c>
    </row>
    <row r="412" spans="1:1" x14ac:dyDescent="0.35">
      <c r="A412" t="s">
        <v>1458</v>
      </c>
    </row>
    <row r="413" spans="1:1" x14ac:dyDescent="0.35">
      <c r="A413" t="s">
        <v>1459</v>
      </c>
    </row>
    <row r="414" spans="1:1" x14ac:dyDescent="0.35">
      <c r="A414" t="s">
        <v>1460</v>
      </c>
    </row>
    <row r="415" spans="1:1" x14ac:dyDescent="0.35">
      <c r="A415" t="s">
        <v>1461</v>
      </c>
    </row>
    <row r="416" spans="1:1" x14ac:dyDescent="0.35">
      <c r="A416" t="s">
        <v>1462</v>
      </c>
    </row>
    <row r="417" spans="1:1" x14ac:dyDescent="0.35">
      <c r="A417" t="s">
        <v>1463</v>
      </c>
    </row>
    <row r="418" spans="1:1" x14ac:dyDescent="0.35">
      <c r="A418" t="s">
        <v>1464</v>
      </c>
    </row>
    <row r="419" spans="1:1" x14ac:dyDescent="0.35">
      <c r="A419" t="s">
        <v>1465</v>
      </c>
    </row>
    <row r="420" spans="1:1" x14ac:dyDescent="0.35">
      <c r="A420" t="s">
        <v>1466</v>
      </c>
    </row>
    <row r="421" spans="1:1" x14ac:dyDescent="0.35">
      <c r="A421" t="s">
        <v>1467</v>
      </c>
    </row>
    <row r="422" spans="1:1" x14ac:dyDescent="0.35">
      <c r="A422" t="s">
        <v>1468</v>
      </c>
    </row>
    <row r="423" spans="1:1" x14ac:dyDescent="0.35">
      <c r="A423" t="s">
        <v>1469</v>
      </c>
    </row>
    <row r="424" spans="1:1" x14ac:dyDescent="0.35">
      <c r="A424" t="s">
        <v>1470</v>
      </c>
    </row>
    <row r="425" spans="1:1" x14ac:dyDescent="0.35">
      <c r="A425" t="s">
        <v>1471</v>
      </c>
    </row>
    <row r="426" spans="1:1" x14ac:dyDescent="0.35">
      <c r="A426" t="s">
        <v>1472</v>
      </c>
    </row>
    <row r="427" spans="1:1" x14ac:dyDescent="0.35">
      <c r="A427" t="s">
        <v>1473</v>
      </c>
    </row>
    <row r="428" spans="1:1" x14ac:dyDescent="0.35">
      <c r="A428" t="s">
        <v>1474</v>
      </c>
    </row>
    <row r="429" spans="1:1" x14ac:dyDescent="0.35">
      <c r="A429" t="s">
        <v>1475</v>
      </c>
    </row>
    <row r="430" spans="1:1" x14ac:dyDescent="0.35">
      <c r="A430" t="s">
        <v>1476</v>
      </c>
    </row>
    <row r="431" spans="1:1" x14ac:dyDescent="0.35">
      <c r="A431" t="s">
        <v>1477</v>
      </c>
    </row>
    <row r="432" spans="1:1" x14ac:dyDescent="0.35">
      <c r="A432" t="s">
        <v>1478</v>
      </c>
    </row>
    <row r="433" spans="1:1" x14ac:dyDescent="0.35">
      <c r="A433" t="s">
        <v>1479</v>
      </c>
    </row>
    <row r="434" spans="1:1" x14ac:dyDescent="0.35">
      <c r="A434" t="s">
        <v>1480</v>
      </c>
    </row>
    <row r="435" spans="1:1" x14ac:dyDescent="0.35">
      <c r="A435" t="s">
        <v>1481</v>
      </c>
    </row>
    <row r="436" spans="1:1" x14ac:dyDescent="0.35">
      <c r="A436" t="s">
        <v>1482</v>
      </c>
    </row>
    <row r="437" spans="1:1" x14ac:dyDescent="0.35">
      <c r="A437" t="s">
        <v>1483</v>
      </c>
    </row>
    <row r="438" spans="1:1" x14ac:dyDescent="0.35">
      <c r="A438" t="s">
        <v>1484</v>
      </c>
    </row>
    <row r="439" spans="1:1" x14ac:dyDescent="0.35">
      <c r="A439" t="s">
        <v>1485</v>
      </c>
    </row>
    <row r="440" spans="1:1" x14ac:dyDescent="0.35">
      <c r="A440" t="s">
        <v>1486</v>
      </c>
    </row>
    <row r="441" spans="1:1" x14ac:dyDescent="0.35">
      <c r="A441" t="s">
        <v>1487</v>
      </c>
    </row>
    <row r="442" spans="1:1" x14ac:dyDescent="0.35">
      <c r="A442" t="s">
        <v>1488</v>
      </c>
    </row>
    <row r="443" spans="1:1" x14ac:dyDescent="0.35">
      <c r="A443" t="s">
        <v>1489</v>
      </c>
    </row>
    <row r="444" spans="1:1" x14ac:dyDescent="0.35">
      <c r="A444" t="s">
        <v>1490</v>
      </c>
    </row>
    <row r="445" spans="1:1" x14ac:dyDescent="0.35">
      <c r="A445" t="s">
        <v>1491</v>
      </c>
    </row>
    <row r="446" spans="1:1" x14ac:dyDescent="0.35">
      <c r="A446" t="s">
        <v>1492</v>
      </c>
    </row>
    <row r="447" spans="1:1" x14ac:dyDescent="0.35">
      <c r="A447" t="s">
        <v>1493</v>
      </c>
    </row>
    <row r="448" spans="1:1" x14ac:dyDescent="0.35">
      <c r="A448" t="s">
        <v>1494</v>
      </c>
    </row>
    <row r="449" spans="1:1" x14ac:dyDescent="0.35">
      <c r="A449" t="s">
        <v>1495</v>
      </c>
    </row>
    <row r="450" spans="1:1" x14ac:dyDescent="0.35">
      <c r="A450" t="s">
        <v>1496</v>
      </c>
    </row>
    <row r="451" spans="1:1" x14ac:dyDescent="0.35">
      <c r="A451" t="s">
        <v>1497</v>
      </c>
    </row>
    <row r="452" spans="1:1" x14ac:dyDescent="0.35">
      <c r="A452" t="s">
        <v>1498</v>
      </c>
    </row>
    <row r="453" spans="1:1" x14ac:dyDescent="0.35">
      <c r="A453" t="s">
        <v>1499</v>
      </c>
    </row>
    <row r="454" spans="1:1" x14ac:dyDescent="0.35">
      <c r="A454" t="s">
        <v>1500</v>
      </c>
    </row>
    <row r="455" spans="1:1" x14ac:dyDescent="0.35">
      <c r="A455" t="s">
        <v>1501</v>
      </c>
    </row>
    <row r="456" spans="1:1" x14ac:dyDescent="0.35">
      <c r="A456" t="s">
        <v>1502</v>
      </c>
    </row>
    <row r="457" spans="1:1" x14ac:dyDescent="0.35">
      <c r="A457" t="s">
        <v>1503</v>
      </c>
    </row>
    <row r="458" spans="1:1" x14ac:dyDescent="0.35">
      <c r="A458" t="s">
        <v>1504</v>
      </c>
    </row>
    <row r="459" spans="1:1" x14ac:dyDescent="0.35">
      <c r="A459" t="s">
        <v>1505</v>
      </c>
    </row>
    <row r="460" spans="1:1" x14ac:dyDescent="0.35">
      <c r="A460" t="s">
        <v>1506</v>
      </c>
    </row>
    <row r="461" spans="1:1" x14ac:dyDescent="0.35">
      <c r="A461" t="s">
        <v>1507</v>
      </c>
    </row>
    <row r="462" spans="1:1" x14ac:dyDescent="0.35">
      <c r="A462" t="s">
        <v>1508</v>
      </c>
    </row>
    <row r="463" spans="1:1" x14ac:dyDescent="0.35">
      <c r="A463" t="s">
        <v>1509</v>
      </c>
    </row>
    <row r="464" spans="1:1" x14ac:dyDescent="0.35">
      <c r="A464" t="s">
        <v>1510</v>
      </c>
    </row>
    <row r="465" spans="1:1" x14ac:dyDescent="0.35">
      <c r="A465" t="s">
        <v>1511</v>
      </c>
    </row>
    <row r="466" spans="1:1" x14ac:dyDescent="0.35">
      <c r="A466" t="s">
        <v>1512</v>
      </c>
    </row>
    <row r="467" spans="1:1" x14ac:dyDescent="0.35">
      <c r="A467" t="s">
        <v>1513</v>
      </c>
    </row>
    <row r="468" spans="1:1" x14ac:dyDescent="0.35">
      <c r="A468" t="s">
        <v>1514</v>
      </c>
    </row>
    <row r="469" spans="1:1" x14ac:dyDescent="0.35">
      <c r="A469" t="s">
        <v>1515</v>
      </c>
    </row>
    <row r="470" spans="1:1" x14ac:dyDescent="0.35">
      <c r="A470" t="s">
        <v>1516</v>
      </c>
    </row>
    <row r="471" spans="1:1" x14ac:dyDescent="0.35">
      <c r="A471" t="s">
        <v>1517</v>
      </c>
    </row>
    <row r="472" spans="1:1" x14ac:dyDescent="0.35">
      <c r="A472" t="s">
        <v>1518</v>
      </c>
    </row>
    <row r="473" spans="1:1" x14ac:dyDescent="0.35">
      <c r="A473" t="s">
        <v>1519</v>
      </c>
    </row>
    <row r="474" spans="1:1" x14ac:dyDescent="0.35">
      <c r="A474" t="s">
        <v>1520</v>
      </c>
    </row>
    <row r="475" spans="1:1" x14ac:dyDescent="0.35">
      <c r="A475" t="s">
        <v>1521</v>
      </c>
    </row>
    <row r="476" spans="1:1" x14ac:dyDescent="0.35">
      <c r="A476" t="s">
        <v>1522</v>
      </c>
    </row>
    <row r="477" spans="1:1" x14ac:dyDescent="0.35">
      <c r="A477" t="s">
        <v>1523</v>
      </c>
    </row>
    <row r="478" spans="1:1" x14ac:dyDescent="0.35">
      <c r="A478" t="s">
        <v>1524</v>
      </c>
    </row>
    <row r="479" spans="1:1" x14ac:dyDescent="0.35">
      <c r="A479" t="s">
        <v>1525</v>
      </c>
    </row>
    <row r="480" spans="1:1" x14ac:dyDescent="0.35">
      <c r="A480" t="s">
        <v>1526</v>
      </c>
    </row>
    <row r="481" spans="1:1" x14ac:dyDescent="0.35">
      <c r="A481" t="s">
        <v>1527</v>
      </c>
    </row>
    <row r="482" spans="1:1" x14ac:dyDescent="0.35">
      <c r="A482" t="s">
        <v>1528</v>
      </c>
    </row>
    <row r="483" spans="1:1" x14ac:dyDescent="0.35">
      <c r="A483" t="s">
        <v>1529</v>
      </c>
    </row>
    <row r="484" spans="1:1" x14ac:dyDescent="0.35">
      <c r="A484" t="s">
        <v>1530</v>
      </c>
    </row>
    <row r="485" spans="1:1" x14ac:dyDescent="0.35">
      <c r="A485" t="s">
        <v>1531</v>
      </c>
    </row>
    <row r="486" spans="1:1" x14ac:dyDescent="0.35">
      <c r="A486" t="s">
        <v>1532</v>
      </c>
    </row>
    <row r="487" spans="1:1" x14ac:dyDescent="0.35">
      <c r="A487" t="s">
        <v>1533</v>
      </c>
    </row>
    <row r="488" spans="1:1" x14ac:dyDescent="0.35">
      <c r="A488" t="s">
        <v>1534</v>
      </c>
    </row>
    <row r="489" spans="1:1" x14ac:dyDescent="0.35">
      <c r="A489" t="s">
        <v>1535</v>
      </c>
    </row>
    <row r="490" spans="1:1" x14ac:dyDescent="0.35">
      <c r="A490" t="s">
        <v>1536</v>
      </c>
    </row>
    <row r="491" spans="1:1" x14ac:dyDescent="0.35">
      <c r="A491" t="s">
        <v>1537</v>
      </c>
    </row>
    <row r="492" spans="1:1" x14ac:dyDescent="0.35">
      <c r="A492" t="s">
        <v>1538</v>
      </c>
    </row>
    <row r="493" spans="1:1" x14ac:dyDescent="0.35">
      <c r="A493" t="s">
        <v>1539</v>
      </c>
    </row>
    <row r="494" spans="1:1" x14ac:dyDescent="0.35">
      <c r="A494" t="s">
        <v>1540</v>
      </c>
    </row>
    <row r="495" spans="1:1" x14ac:dyDescent="0.35">
      <c r="A495" t="s">
        <v>1541</v>
      </c>
    </row>
    <row r="496" spans="1:1" x14ac:dyDescent="0.35">
      <c r="A496" t="s">
        <v>1542</v>
      </c>
    </row>
    <row r="497" spans="1:1" x14ac:dyDescent="0.35">
      <c r="A497" t="s">
        <v>1543</v>
      </c>
    </row>
    <row r="498" spans="1:1" x14ac:dyDescent="0.35">
      <c r="A498" t="s">
        <v>1544</v>
      </c>
    </row>
    <row r="499" spans="1:1" x14ac:dyDescent="0.35">
      <c r="A499" t="s">
        <v>1545</v>
      </c>
    </row>
    <row r="500" spans="1:1" x14ac:dyDescent="0.35">
      <c r="A500" t="s">
        <v>1546</v>
      </c>
    </row>
    <row r="501" spans="1:1" x14ac:dyDescent="0.35">
      <c r="A501" t="s">
        <v>1547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DB359-925B-4C25-ACA5-485D6FCC4E31}">
  <sheetPr codeName="Hoja4"/>
  <dimension ref="A1:P504"/>
  <sheetViews>
    <sheetView showGridLines="0" zoomScale="85" zoomScaleNormal="85" workbookViewId="0">
      <selection activeCell="C74" sqref="C74"/>
    </sheetView>
  </sheetViews>
  <sheetFormatPr baseColWidth="10" defaultColWidth="0" defaultRowHeight="17.25" zeroHeight="1" x14ac:dyDescent="0.35"/>
  <cols>
    <col min="1" max="1" width="9.875" bestFit="1" customWidth="1"/>
    <col min="2" max="2" width="8.875" bestFit="1" customWidth="1"/>
    <col min="3" max="4" width="12" bestFit="1" customWidth="1"/>
    <col min="5" max="5" width="11.25" bestFit="1" customWidth="1"/>
    <col min="6" max="6" width="14.625" bestFit="1" customWidth="1"/>
    <col min="7" max="7" width="16.875" bestFit="1" customWidth="1"/>
    <col min="8" max="8" width="13.75" bestFit="1" customWidth="1"/>
    <col min="9" max="9" width="33.125" bestFit="1" customWidth="1"/>
    <col min="10" max="10" width="14.5" bestFit="1" customWidth="1"/>
    <col min="11" max="11" width="11" bestFit="1" customWidth="1"/>
    <col min="12" max="12" width="14.875" bestFit="1" customWidth="1"/>
    <col min="13" max="13" width="15.375" customWidth="1"/>
    <col min="14" max="16" width="11" hidden="1" customWidth="1"/>
    <col min="17" max="16384" width="11" hidden="1"/>
  </cols>
  <sheetData>
    <row r="1" spans="1:16" x14ac:dyDescent="0.35">
      <c r="A1" s="22"/>
      <c r="B1" s="22"/>
      <c r="C1" s="22"/>
      <c r="D1" s="22"/>
      <c r="E1" s="22"/>
      <c r="F1" s="22"/>
      <c r="G1" s="22"/>
      <c r="H1" s="22"/>
      <c r="I1" s="22"/>
      <c r="J1" s="22"/>
      <c r="K1" s="22"/>
      <c r="L1" s="22"/>
      <c r="M1" s="22"/>
      <c r="N1" s="22"/>
      <c r="O1" s="22"/>
      <c r="P1" s="22"/>
    </row>
    <row r="2" spans="1:16" x14ac:dyDescent="0.35">
      <c r="A2" s="22"/>
      <c r="B2" s="22"/>
      <c r="C2" s="22"/>
      <c r="D2" s="22"/>
      <c r="E2" s="22"/>
      <c r="F2" s="22"/>
      <c r="G2" s="22"/>
      <c r="H2" s="22"/>
      <c r="I2" s="22"/>
      <c r="J2" s="22"/>
      <c r="K2" s="22"/>
      <c r="L2" s="22"/>
      <c r="M2" s="22"/>
      <c r="N2" s="22"/>
      <c r="O2" s="22"/>
      <c r="P2" s="22"/>
    </row>
    <row r="3" spans="1:16" x14ac:dyDescent="0.35">
      <c r="A3" t="s">
        <v>11</v>
      </c>
      <c r="B3" t="s">
        <v>0</v>
      </c>
      <c r="C3" t="s">
        <v>12</v>
      </c>
      <c r="D3" t="s">
        <v>13</v>
      </c>
      <c r="E3" t="s">
        <v>14</v>
      </c>
      <c r="F3" t="s">
        <v>15</v>
      </c>
      <c r="G3" t="s">
        <v>16</v>
      </c>
      <c r="H3" t="s">
        <v>17</v>
      </c>
      <c r="I3" t="s">
        <v>18</v>
      </c>
      <c r="J3" t="s">
        <v>19</v>
      </c>
      <c r="K3" t="s">
        <v>20</v>
      </c>
      <c r="L3" t="s">
        <v>1598</v>
      </c>
      <c r="M3" t="s">
        <v>1601</v>
      </c>
      <c r="N3" s="22"/>
      <c r="O3" s="22"/>
      <c r="P3" s="22"/>
    </row>
    <row r="4" spans="1:16" x14ac:dyDescent="0.35">
      <c r="A4">
        <v>4710</v>
      </c>
      <c r="B4" t="s">
        <v>285</v>
      </c>
      <c r="C4" s="1">
        <v>45293</v>
      </c>
      <c r="D4" t="s">
        <v>22</v>
      </c>
      <c r="E4" t="s">
        <v>23</v>
      </c>
      <c r="F4" s="6">
        <v>741722</v>
      </c>
      <c r="G4">
        <v>3</v>
      </c>
      <c r="H4" s="6">
        <v>2225166</v>
      </c>
      <c r="I4" t="s">
        <v>534</v>
      </c>
      <c r="J4" t="s">
        <v>2</v>
      </c>
      <c r="K4" t="s">
        <v>535</v>
      </c>
      <c r="L4" t="str">
        <f>IF(Base_ventas[[#This Row],[Método_pago]]="Efectivo","Efectivo","Electrónico")</f>
        <v>Efectivo</v>
      </c>
      <c r="M4" t="str">
        <f t="shared" ref="M4:M67" si="0">IF(AND(G4&gt;2,H4&gt;=1000000),"Best seller","Venta promedio")</f>
        <v>Best seller</v>
      </c>
      <c r="N4" s="22"/>
      <c r="O4" s="22"/>
      <c r="P4" s="22"/>
    </row>
    <row r="5" spans="1:16" x14ac:dyDescent="0.35">
      <c r="A5">
        <v>3188</v>
      </c>
      <c r="B5" t="s">
        <v>187</v>
      </c>
      <c r="C5" s="1">
        <v>45294</v>
      </c>
      <c r="D5" t="s">
        <v>24</v>
      </c>
      <c r="E5" t="s">
        <v>25</v>
      </c>
      <c r="F5" s="6">
        <v>707995</v>
      </c>
      <c r="G5">
        <v>2</v>
      </c>
      <c r="H5" s="6">
        <v>1415990</v>
      </c>
      <c r="I5" t="s">
        <v>536</v>
      </c>
      <c r="J5" t="s">
        <v>2</v>
      </c>
      <c r="K5" t="s">
        <v>537</v>
      </c>
      <c r="L5" t="str">
        <f>IF(Base_ventas[[#This Row],[Método_pago]]="Efectivo","Efectivo","Electrónico")</f>
        <v>Efectivo</v>
      </c>
      <c r="M5" t="str">
        <f t="shared" si="0"/>
        <v>Venta promedio</v>
      </c>
      <c r="N5" s="22"/>
      <c r="O5" s="22"/>
      <c r="P5" s="22"/>
    </row>
    <row r="6" spans="1:16" x14ac:dyDescent="0.35">
      <c r="A6">
        <v>7148</v>
      </c>
      <c r="B6" t="s">
        <v>286</v>
      </c>
      <c r="C6" s="1">
        <v>45294</v>
      </c>
      <c r="D6" t="s">
        <v>22</v>
      </c>
      <c r="E6" t="s">
        <v>23</v>
      </c>
      <c r="F6" s="6">
        <v>741722</v>
      </c>
      <c r="G6">
        <v>1</v>
      </c>
      <c r="H6" s="6">
        <v>741722</v>
      </c>
      <c r="I6" t="s">
        <v>538</v>
      </c>
      <c r="J6" t="s">
        <v>4</v>
      </c>
      <c r="K6" t="s">
        <v>539</v>
      </c>
      <c r="L6" t="str">
        <f>IF(Base_ventas[[#This Row],[Método_pago]]="Efectivo","Efectivo","Electrónico")</f>
        <v>Electrónico</v>
      </c>
      <c r="M6" t="str">
        <f t="shared" si="0"/>
        <v>Venta promedio</v>
      </c>
      <c r="N6" s="22"/>
      <c r="O6" s="22"/>
      <c r="P6" s="22"/>
    </row>
    <row r="7" spans="1:16" x14ac:dyDescent="0.35">
      <c r="A7">
        <v>5096</v>
      </c>
      <c r="B7" t="s">
        <v>287</v>
      </c>
      <c r="C7" s="1">
        <v>45294</v>
      </c>
      <c r="D7" t="s">
        <v>30</v>
      </c>
      <c r="E7" t="s">
        <v>1</v>
      </c>
      <c r="F7" s="6">
        <v>114971</v>
      </c>
      <c r="G7">
        <v>1</v>
      </c>
      <c r="H7" s="6">
        <v>114971</v>
      </c>
      <c r="I7" t="s">
        <v>540</v>
      </c>
      <c r="J7" t="s">
        <v>1608</v>
      </c>
      <c r="K7" t="s">
        <v>541</v>
      </c>
      <c r="L7" t="str">
        <f>IF(Base_ventas[[#This Row],[Método_pago]]="Efectivo","Efectivo","Electrónico")</f>
        <v>Electrónico</v>
      </c>
      <c r="M7" t="str">
        <f t="shared" si="0"/>
        <v>Venta promedio</v>
      </c>
      <c r="N7" s="22"/>
      <c r="O7" s="22"/>
      <c r="P7" s="22"/>
    </row>
    <row r="8" spans="1:16" x14ac:dyDescent="0.35">
      <c r="A8">
        <v>6289</v>
      </c>
      <c r="B8" t="s">
        <v>262</v>
      </c>
      <c r="C8" s="1">
        <v>45294</v>
      </c>
      <c r="D8" t="s">
        <v>26</v>
      </c>
      <c r="E8" t="s">
        <v>25</v>
      </c>
      <c r="F8" s="6">
        <v>1844533</v>
      </c>
      <c r="G8">
        <v>1</v>
      </c>
      <c r="H8" s="6">
        <v>1844533</v>
      </c>
      <c r="I8" t="s">
        <v>542</v>
      </c>
      <c r="J8" t="s">
        <v>3</v>
      </c>
      <c r="K8" t="s">
        <v>543</v>
      </c>
      <c r="L8" t="str">
        <f>IF(Base_ventas[[#This Row],[Método_pago]]="Efectivo","Efectivo","Electrónico")</f>
        <v>Electrónico</v>
      </c>
      <c r="M8" t="str">
        <f t="shared" si="0"/>
        <v>Venta promedio</v>
      </c>
      <c r="N8" s="22"/>
      <c r="O8" s="22"/>
      <c r="P8" s="22"/>
    </row>
    <row r="9" spans="1:16" x14ac:dyDescent="0.35">
      <c r="A9">
        <v>6653</v>
      </c>
      <c r="B9" t="s">
        <v>91</v>
      </c>
      <c r="C9" s="1">
        <v>45295</v>
      </c>
      <c r="D9" t="s">
        <v>24</v>
      </c>
      <c r="E9" t="s">
        <v>25</v>
      </c>
      <c r="F9" s="6">
        <v>707995</v>
      </c>
      <c r="G9">
        <v>1</v>
      </c>
      <c r="H9" s="6">
        <v>707995</v>
      </c>
      <c r="I9" t="s">
        <v>544</v>
      </c>
      <c r="J9" t="s">
        <v>4</v>
      </c>
      <c r="K9" t="s">
        <v>545</v>
      </c>
      <c r="L9" t="str">
        <f>IF(Base_ventas[[#This Row],[Método_pago]]="Efectivo","Efectivo","Electrónico")</f>
        <v>Electrónico</v>
      </c>
      <c r="M9" t="str">
        <f t="shared" si="0"/>
        <v>Venta promedio</v>
      </c>
      <c r="N9" s="22"/>
      <c r="O9" s="22"/>
      <c r="P9" s="22"/>
    </row>
    <row r="10" spans="1:16" x14ac:dyDescent="0.35">
      <c r="A10">
        <v>5587</v>
      </c>
      <c r="B10" t="s">
        <v>217</v>
      </c>
      <c r="C10" s="1">
        <v>45298</v>
      </c>
      <c r="D10" t="s">
        <v>24</v>
      </c>
      <c r="E10" t="s">
        <v>25</v>
      </c>
      <c r="F10" s="6">
        <v>707995</v>
      </c>
      <c r="G10">
        <v>2</v>
      </c>
      <c r="H10" s="6">
        <v>1415990</v>
      </c>
      <c r="I10" t="s">
        <v>546</v>
      </c>
      <c r="J10" t="s">
        <v>3</v>
      </c>
      <c r="K10" t="s">
        <v>547</v>
      </c>
      <c r="L10" t="str">
        <f>IF(Base_ventas[[#This Row],[Método_pago]]="Efectivo","Efectivo","Electrónico")</f>
        <v>Electrónico</v>
      </c>
      <c r="M10" t="str">
        <f t="shared" si="0"/>
        <v>Venta promedio</v>
      </c>
      <c r="N10" s="22"/>
      <c r="O10" s="22"/>
      <c r="P10" s="22"/>
    </row>
    <row r="11" spans="1:16" x14ac:dyDescent="0.35">
      <c r="A11">
        <v>6540</v>
      </c>
      <c r="B11" t="s">
        <v>288</v>
      </c>
      <c r="C11" s="1">
        <v>45301</v>
      </c>
      <c r="D11" t="s">
        <v>22</v>
      </c>
      <c r="E11" t="s">
        <v>23</v>
      </c>
      <c r="F11" s="6">
        <v>741722</v>
      </c>
      <c r="G11">
        <v>3</v>
      </c>
      <c r="H11" s="6">
        <v>2225166</v>
      </c>
      <c r="I11" t="s">
        <v>548</v>
      </c>
      <c r="J11" t="s">
        <v>2</v>
      </c>
      <c r="K11" t="s">
        <v>537</v>
      </c>
      <c r="L11" t="str">
        <f>IF(Base_ventas[[#This Row],[Método_pago]]="Efectivo","Efectivo","Electrónico")</f>
        <v>Efectivo</v>
      </c>
      <c r="M11" t="str">
        <f t="shared" si="0"/>
        <v>Best seller</v>
      </c>
      <c r="N11" s="22"/>
      <c r="O11" s="22"/>
      <c r="P11" s="22"/>
    </row>
    <row r="12" spans="1:16" x14ac:dyDescent="0.35">
      <c r="A12">
        <v>3683</v>
      </c>
      <c r="B12" t="s">
        <v>289</v>
      </c>
      <c r="C12" s="1">
        <v>45303</v>
      </c>
      <c r="D12" t="s">
        <v>30</v>
      </c>
      <c r="E12" t="s">
        <v>1</v>
      </c>
      <c r="F12" s="6">
        <v>114971</v>
      </c>
      <c r="G12">
        <v>2</v>
      </c>
      <c r="H12" s="6">
        <v>229942</v>
      </c>
      <c r="I12" t="s">
        <v>549</v>
      </c>
      <c r="J12" t="s">
        <v>2</v>
      </c>
      <c r="K12" t="s">
        <v>541</v>
      </c>
      <c r="L12" t="str">
        <f>IF(Base_ventas[[#This Row],[Método_pago]]="Efectivo","Efectivo","Electrónico")</f>
        <v>Efectivo</v>
      </c>
      <c r="M12" t="str">
        <f t="shared" si="0"/>
        <v>Venta promedio</v>
      </c>
      <c r="N12" s="22"/>
      <c r="O12" s="22"/>
      <c r="P12" s="22"/>
    </row>
    <row r="13" spans="1:16" x14ac:dyDescent="0.35">
      <c r="A13">
        <v>9486</v>
      </c>
      <c r="B13" t="s">
        <v>204</v>
      </c>
      <c r="C13" s="1">
        <v>45304</v>
      </c>
      <c r="D13" t="s">
        <v>28</v>
      </c>
      <c r="E13" t="s">
        <v>1</v>
      </c>
      <c r="F13" s="6">
        <v>177881</v>
      </c>
      <c r="G13">
        <v>2</v>
      </c>
      <c r="H13" s="6">
        <v>355762</v>
      </c>
      <c r="I13" t="s">
        <v>550</v>
      </c>
      <c r="J13" t="s">
        <v>2</v>
      </c>
      <c r="K13" t="s">
        <v>545</v>
      </c>
      <c r="L13" t="str">
        <f>IF(Base_ventas[[#This Row],[Método_pago]]="Efectivo","Efectivo","Electrónico")</f>
        <v>Efectivo</v>
      </c>
      <c r="M13" t="str">
        <f t="shared" si="0"/>
        <v>Venta promedio</v>
      </c>
      <c r="N13" s="22"/>
      <c r="O13" s="22"/>
      <c r="P13" s="22"/>
    </row>
    <row r="14" spans="1:16" x14ac:dyDescent="0.35">
      <c r="A14">
        <v>5593</v>
      </c>
      <c r="B14" t="s">
        <v>290</v>
      </c>
      <c r="C14" s="1">
        <v>45306</v>
      </c>
      <c r="D14" t="s">
        <v>22</v>
      </c>
      <c r="E14" t="s">
        <v>23</v>
      </c>
      <c r="F14" s="6">
        <v>741722</v>
      </c>
      <c r="G14">
        <v>1</v>
      </c>
      <c r="H14" s="6">
        <v>741722</v>
      </c>
      <c r="I14" t="s">
        <v>551</v>
      </c>
      <c r="J14" t="s">
        <v>2</v>
      </c>
      <c r="K14" t="s">
        <v>543</v>
      </c>
      <c r="L14" t="str">
        <f>IF(Base_ventas[[#This Row],[Método_pago]]="Efectivo","Efectivo","Electrónico")</f>
        <v>Efectivo</v>
      </c>
      <c r="M14" t="str">
        <f t="shared" si="0"/>
        <v>Venta promedio</v>
      </c>
      <c r="N14" s="22"/>
      <c r="O14" s="22"/>
      <c r="P14" s="22"/>
    </row>
    <row r="15" spans="1:16" x14ac:dyDescent="0.35">
      <c r="A15">
        <v>8961</v>
      </c>
      <c r="B15" t="s">
        <v>127</v>
      </c>
      <c r="C15" s="1">
        <v>45307</v>
      </c>
      <c r="D15" t="s">
        <v>30</v>
      </c>
      <c r="E15" t="s">
        <v>1</v>
      </c>
      <c r="F15" s="6">
        <v>114971</v>
      </c>
      <c r="G15">
        <v>2</v>
      </c>
      <c r="H15" s="6">
        <v>229942</v>
      </c>
      <c r="I15" t="s">
        <v>552</v>
      </c>
      <c r="J15" t="s">
        <v>4</v>
      </c>
      <c r="K15" t="s">
        <v>535</v>
      </c>
      <c r="L15" t="str">
        <f>IF(Base_ventas[[#This Row],[Método_pago]]="Efectivo","Efectivo","Electrónico")</f>
        <v>Electrónico</v>
      </c>
      <c r="M15" t="str">
        <f t="shared" si="0"/>
        <v>Venta promedio</v>
      </c>
      <c r="N15" s="22"/>
      <c r="O15" s="22"/>
      <c r="P15" s="22"/>
    </row>
    <row r="16" spans="1:16" x14ac:dyDescent="0.35">
      <c r="A16">
        <v>1356</v>
      </c>
      <c r="B16" t="s">
        <v>177</v>
      </c>
      <c r="C16" s="1">
        <v>45308</v>
      </c>
      <c r="D16" t="s">
        <v>26</v>
      </c>
      <c r="E16" t="s">
        <v>25</v>
      </c>
      <c r="F16" s="6">
        <v>1844533</v>
      </c>
      <c r="G16">
        <v>3</v>
      </c>
      <c r="H16" s="6">
        <v>5533599</v>
      </c>
      <c r="I16" t="s">
        <v>553</v>
      </c>
      <c r="J16" t="s">
        <v>2</v>
      </c>
      <c r="K16" t="s">
        <v>541</v>
      </c>
      <c r="L16" t="str">
        <f>IF(Base_ventas[[#This Row],[Método_pago]]="Efectivo","Efectivo","Electrónico")</f>
        <v>Efectivo</v>
      </c>
      <c r="M16" t="str">
        <f t="shared" si="0"/>
        <v>Best seller</v>
      </c>
      <c r="N16" s="22"/>
      <c r="O16" s="22"/>
      <c r="P16" s="22"/>
    </row>
    <row r="17" spans="1:16" x14ac:dyDescent="0.35">
      <c r="A17">
        <v>4943</v>
      </c>
      <c r="B17" t="s">
        <v>249</v>
      </c>
      <c r="C17" s="1">
        <v>45308</v>
      </c>
      <c r="D17" t="s">
        <v>24</v>
      </c>
      <c r="E17" t="s">
        <v>25</v>
      </c>
      <c r="F17" s="6">
        <v>707995</v>
      </c>
      <c r="G17">
        <v>3</v>
      </c>
      <c r="H17" s="6">
        <v>2123985</v>
      </c>
      <c r="I17" t="s">
        <v>554</v>
      </c>
      <c r="J17" t="s">
        <v>2</v>
      </c>
      <c r="K17" t="s">
        <v>533</v>
      </c>
      <c r="L17" t="str">
        <f>IF(Base_ventas[[#This Row],[Método_pago]]="Efectivo","Efectivo","Electrónico")</f>
        <v>Efectivo</v>
      </c>
      <c r="M17" t="str">
        <f t="shared" si="0"/>
        <v>Best seller</v>
      </c>
      <c r="N17" s="22"/>
      <c r="O17" s="22"/>
      <c r="P17" s="22"/>
    </row>
    <row r="18" spans="1:16" x14ac:dyDescent="0.35">
      <c r="A18">
        <v>6793</v>
      </c>
      <c r="B18" t="s">
        <v>186</v>
      </c>
      <c r="C18" s="1">
        <v>45309</v>
      </c>
      <c r="D18" t="s">
        <v>24</v>
      </c>
      <c r="E18" t="s">
        <v>25</v>
      </c>
      <c r="F18" s="6">
        <v>707995</v>
      </c>
      <c r="G18">
        <v>3</v>
      </c>
      <c r="H18" s="6">
        <v>2123985</v>
      </c>
      <c r="I18" t="s">
        <v>555</v>
      </c>
      <c r="J18" t="s">
        <v>2</v>
      </c>
      <c r="K18" t="s">
        <v>535</v>
      </c>
      <c r="L18" t="str">
        <f>IF(Base_ventas[[#This Row],[Método_pago]]="Efectivo","Efectivo","Electrónico")</f>
        <v>Efectivo</v>
      </c>
      <c r="M18" t="str">
        <f t="shared" si="0"/>
        <v>Best seller</v>
      </c>
      <c r="N18" s="22"/>
      <c r="O18" s="22"/>
      <c r="P18" s="22"/>
    </row>
    <row r="19" spans="1:16" x14ac:dyDescent="0.35">
      <c r="A19">
        <v>8483</v>
      </c>
      <c r="B19" t="s">
        <v>193</v>
      </c>
      <c r="C19" s="1">
        <v>45309</v>
      </c>
      <c r="D19" t="s">
        <v>28</v>
      </c>
      <c r="E19" t="s">
        <v>1</v>
      </c>
      <c r="F19" s="6">
        <v>177881</v>
      </c>
      <c r="G19">
        <v>3</v>
      </c>
      <c r="H19" s="6">
        <v>533643</v>
      </c>
      <c r="I19" t="s">
        <v>556</v>
      </c>
      <c r="J19" t="s">
        <v>2</v>
      </c>
      <c r="K19" t="s">
        <v>547</v>
      </c>
      <c r="L19" t="str">
        <f>IF(Base_ventas[[#This Row],[Método_pago]]="Efectivo","Efectivo","Electrónico")</f>
        <v>Efectivo</v>
      </c>
      <c r="M19" t="str">
        <f t="shared" si="0"/>
        <v>Venta promedio</v>
      </c>
      <c r="N19" s="22"/>
      <c r="O19" s="22"/>
      <c r="P19" s="22"/>
    </row>
    <row r="20" spans="1:16" x14ac:dyDescent="0.35">
      <c r="A20">
        <v>2979</v>
      </c>
      <c r="B20" t="s">
        <v>291</v>
      </c>
      <c r="C20" s="1">
        <v>45310</v>
      </c>
      <c r="D20" t="s">
        <v>26</v>
      </c>
      <c r="E20" t="s">
        <v>25</v>
      </c>
      <c r="F20" s="6">
        <v>1844533</v>
      </c>
      <c r="G20">
        <v>2</v>
      </c>
      <c r="H20" s="6">
        <v>3689066</v>
      </c>
      <c r="I20" t="s">
        <v>557</v>
      </c>
      <c r="J20" t="s">
        <v>3</v>
      </c>
      <c r="K20" t="s">
        <v>543</v>
      </c>
      <c r="L20" t="str">
        <f>IF(Base_ventas[[#This Row],[Método_pago]]="Efectivo","Efectivo","Electrónico")</f>
        <v>Electrónico</v>
      </c>
      <c r="M20" t="str">
        <f t="shared" si="0"/>
        <v>Venta promedio</v>
      </c>
      <c r="N20" s="22"/>
      <c r="O20" s="22"/>
      <c r="P20" s="22"/>
    </row>
    <row r="21" spans="1:16" x14ac:dyDescent="0.35">
      <c r="A21">
        <v>7640</v>
      </c>
      <c r="B21" t="s">
        <v>292</v>
      </c>
      <c r="C21" s="1">
        <v>45310</v>
      </c>
      <c r="D21" t="s">
        <v>26</v>
      </c>
      <c r="E21" t="s">
        <v>25</v>
      </c>
      <c r="F21" s="6">
        <v>1844533</v>
      </c>
      <c r="G21">
        <v>3</v>
      </c>
      <c r="H21" s="6">
        <v>5533599</v>
      </c>
      <c r="I21" t="s">
        <v>558</v>
      </c>
      <c r="J21" t="s">
        <v>2</v>
      </c>
      <c r="K21" t="s">
        <v>547</v>
      </c>
      <c r="L21" t="str">
        <f>IF(Base_ventas[[#This Row],[Método_pago]]="Efectivo","Efectivo","Electrónico")</f>
        <v>Efectivo</v>
      </c>
      <c r="M21" t="str">
        <f t="shared" si="0"/>
        <v>Best seller</v>
      </c>
      <c r="N21" s="22"/>
      <c r="O21" s="22"/>
      <c r="P21" s="22"/>
    </row>
    <row r="22" spans="1:16" x14ac:dyDescent="0.35">
      <c r="A22">
        <v>1335</v>
      </c>
      <c r="B22" t="s">
        <v>253</v>
      </c>
      <c r="C22" s="1">
        <v>45313</v>
      </c>
      <c r="D22" t="s">
        <v>30</v>
      </c>
      <c r="E22" t="s">
        <v>1</v>
      </c>
      <c r="F22" s="6">
        <v>114971</v>
      </c>
      <c r="G22">
        <v>3</v>
      </c>
      <c r="H22" s="6">
        <v>344913</v>
      </c>
      <c r="I22" t="s">
        <v>559</v>
      </c>
      <c r="J22" t="s">
        <v>2</v>
      </c>
      <c r="K22" t="s">
        <v>533</v>
      </c>
      <c r="L22" t="str">
        <f>IF(Base_ventas[[#This Row],[Método_pago]]="Efectivo","Efectivo","Electrónico")</f>
        <v>Efectivo</v>
      </c>
      <c r="M22" t="str">
        <f t="shared" si="0"/>
        <v>Venta promedio</v>
      </c>
      <c r="N22" s="22"/>
      <c r="O22" s="22"/>
      <c r="P22" s="22"/>
    </row>
    <row r="23" spans="1:16" x14ac:dyDescent="0.35">
      <c r="A23">
        <v>6937</v>
      </c>
      <c r="B23" t="s">
        <v>247</v>
      </c>
      <c r="C23" s="1">
        <v>45313</v>
      </c>
      <c r="D23" t="s">
        <v>26</v>
      </c>
      <c r="E23" t="s">
        <v>25</v>
      </c>
      <c r="F23" s="6">
        <v>1844533</v>
      </c>
      <c r="G23">
        <v>2</v>
      </c>
      <c r="H23" s="6">
        <v>3689066</v>
      </c>
      <c r="I23" t="s">
        <v>560</v>
      </c>
      <c r="J23" t="s">
        <v>3</v>
      </c>
      <c r="K23" t="s">
        <v>561</v>
      </c>
      <c r="L23" t="str">
        <f>IF(Base_ventas[[#This Row],[Método_pago]]="Efectivo","Efectivo","Electrónico")</f>
        <v>Electrónico</v>
      </c>
      <c r="M23" t="str">
        <f t="shared" si="0"/>
        <v>Venta promedio</v>
      </c>
      <c r="N23" s="22"/>
      <c r="O23" s="22"/>
      <c r="P23" s="22"/>
    </row>
    <row r="24" spans="1:16" x14ac:dyDescent="0.35">
      <c r="A24">
        <v>9475</v>
      </c>
      <c r="B24" t="s">
        <v>293</v>
      </c>
      <c r="C24" s="1">
        <v>45313</v>
      </c>
      <c r="D24" t="s">
        <v>24</v>
      </c>
      <c r="E24" t="s">
        <v>25</v>
      </c>
      <c r="F24" s="6">
        <v>707995</v>
      </c>
      <c r="G24">
        <v>1</v>
      </c>
      <c r="H24" s="6">
        <v>707995</v>
      </c>
      <c r="I24" t="s">
        <v>562</v>
      </c>
      <c r="J24" t="s">
        <v>1608</v>
      </c>
      <c r="K24" t="s">
        <v>545</v>
      </c>
      <c r="L24" t="str">
        <f>IF(Base_ventas[[#This Row],[Método_pago]]="Efectivo","Efectivo","Electrónico")</f>
        <v>Electrónico</v>
      </c>
      <c r="M24" t="str">
        <f t="shared" si="0"/>
        <v>Venta promedio</v>
      </c>
      <c r="N24" s="22"/>
      <c r="O24" s="22"/>
      <c r="P24" s="22"/>
    </row>
    <row r="25" spans="1:16" x14ac:dyDescent="0.35">
      <c r="A25">
        <v>6494</v>
      </c>
      <c r="B25" t="s">
        <v>57</v>
      </c>
      <c r="C25" s="1">
        <v>45313</v>
      </c>
      <c r="D25" t="s">
        <v>26</v>
      </c>
      <c r="E25" t="s">
        <v>25</v>
      </c>
      <c r="F25" s="6">
        <v>1844533</v>
      </c>
      <c r="G25">
        <v>2</v>
      </c>
      <c r="H25" s="6">
        <v>3689066</v>
      </c>
      <c r="I25" t="s">
        <v>563</v>
      </c>
      <c r="J25" t="s">
        <v>3</v>
      </c>
      <c r="K25" t="s">
        <v>561</v>
      </c>
      <c r="L25" t="str">
        <f>IF(Base_ventas[[#This Row],[Método_pago]]="Efectivo","Efectivo","Electrónico")</f>
        <v>Electrónico</v>
      </c>
      <c r="M25" t="str">
        <f t="shared" si="0"/>
        <v>Venta promedio</v>
      </c>
      <c r="N25" s="22"/>
      <c r="O25" s="22"/>
      <c r="P25" s="22"/>
    </row>
    <row r="26" spans="1:16" x14ac:dyDescent="0.35">
      <c r="A26">
        <v>4751</v>
      </c>
      <c r="B26" t="s">
        <v>173</v>
      </c>
      <c r="C26" s="1">
        <v>45315</v>
      </c>
      <c r="D26" t="s">
        <v>28</v>
      </c>
      <c r="E26" t="s">
        <v>1</v>
      </c>
      <c r="F26" s="6">
        <v>177881</v>
      </c>
      <c r="G26">
        <v>1</v>
      </c>
      <c r="H26" s="6">
        <v>177881</v>
      </c>
      <c r="I26" t="s">
        <v>564</v>
      </c>
      <c r="J26" t="s">
        <v>3</v>
      </c>
      <c r="K26" t="s">
        <v>539</v>
      </c>
      <c r="L26" t="str">
        <f>IF(Base_ventas[[#This Row],[Método_pago]]="Efectivo","Efectivo","Electrónico")</f>
        <v>Electrónico</v>
      </c>
      <c r="M26" t="str">
        <f t="shared" si="0"/>
        <v>Venta promedio</v>
      </c>
      <c r="N26" s="22"/>
      <c r="O26" s="22"/>
      <c r="P26" s="22"/>
    </row>
    <row r="27" spans="1:16" x14ac:dyDescent="0.35">
      <c r="A27">
        <v>4484</v>
      </c>
      <c r="B27" t="s">
        <v>294</v>
      </c>
      <c r="C27" s="1">
        <v>45316</v>
      </c>
      <c r="D27" t="s">
        <v>22</v>
      </c>
      <c r="E27" t="s">
        <v>23</v>
      </c>
      <c r="F27" s="6">
        <v>741722</v>
      </c>
      <c r="G27">
        <v>3</v>
      </c>
      <c r="H27" s="6">
        <v>2225166</v>
      </c>
      <c r="I27" t="s">
        <v>565</v>
      </c>
      <c r="J27" t="s">
        <v>1608</v>
      </c>
      <c r="K27" t="s">
        <v>543</v>
      </c>
      <c r="L27" t="str">
        <f>IF(Base_ventas[[#This Row],[Método_pago]]="Efectivo","Efectivo","Electrónico")</f>
        <v>Electrónico</v>
      </c>
      <c r="M27" t="str">
        <f t="shared" si="0"/>
        <v>Best seller</v>
      </c>
      <c r="N27" s="22"/>
      <c r="O27" s="22"/>
      <c r="P27" s="22"/>
    </row>
    <row r="28" spans="1:16" x14ac:dyDescent="0.35">
      <c r="A28">
        <v>5938</v>
      </c>
      <c r="B28" t="s">
        <v>295</v>
      </c>
      <c r="C28" s="1">
        <v>45318</v>
      </c>
      <c r="D28" t="s">
        <v>24</v>
      </c>
      <c r="E28" t="s">
        <v>25</v>
      </c>
      <c r="F28" s="6">
        <v>707995</v>
      </c>
      <c r="G28">
        <v>1</v>
      </c>
      <c r="H28" s="6">
        <v>707995</v>
      </c>
      <c r="I28" t="s">
        <v>566</v>
      </c>
      <c r="J28" t="s">
        <v>1608</v>
      </c>
      <c r="K28" t="s">
        <v>561</v>
      </c>
      <c r="L28" t="str">
        <f>IF(Base_ventas[[#This Row],[Método_pago]]="Efectivo","Efectivo","Electrónico")</f>
        <v>Electrónico</v>
      </c>
      <c r="M28" t="str">
        <f t="shared" si="0"/>
        <v>Venta promedio</v>
      </c>
      <c r="N28" s="22"/>
      <c r="O28" s="22"/>
      <c r="P28" s="22"/>
    </row>
    <row r="29" spans="1:16" x14ac:dyDescent="0.35">
      <c r="A29">
        <v>9420</v>
      </c>
      <c r="B29" t="s">
        <v>296</v>
      </c>
      <c r="C29" s="1">
        <v>45319</v>
      </c>
      <c r="D29" t="s">
        <v>26</v>
      </c>
      <c r="E29" t="s">
        <v>25</v>
      </c>
      <c r="F29" s="6">
        <v>1844533</v>
      </c>
      <c r="G29">
        <v>3</v>
      </c>
      <c r="H29" s="6">
        <v>5533599</v>
      </c>
      <c r="I29" t="s">
        <v>567</v>
      </c>
      <c r="J29" t="s">
        <v>3</v>
      </c>
      <c r="K29" t="s">
        <v>537</v>
      </c>
      <c r="L29" t="str">
        <f>IF(Base_ventas[[#This Row],[Método_pago]]="Efectivo","Efectivo","Electrónico")</f>
        <v>Electrónico</v>
      </c>
      <c r="M29" t="str">
        <f t="shared" si="0"/>
        <v>Best seller</v>
      </c>
      <c r="N29" s="22"/>
      <c r="O29" s="22"/>
      <c r="P29" s="22"/>
    </row>
    <row r="30" spans="1:16" x14ac:dyDescent="0.35">
      <c r="A30">
        <v>7338</v>
      </c>
      <c r="B30" t="s">
        <v>273</v>
      </c>
      <c r="C30" s="1">
        <v>45319</v>
      </c>
      <c r="D30" t="s">
        <v>28</v>
      </c>
      <c r="E30" t="s">
        <v>1</v>
      </c>
      <c r="F30" s="6">
        <v>177881</v>
      </c>
      <c r="G30">
        <v>2</v>
      </c>
      <c r="H30" s="6">
        <v>355762</v>
      </c>
      <c r="I30" t="s">
        <v>568</v>
      </c>
      <c r="J30" t="s">
        <v>1608</v>
      </c>
      <c r="K30" t="s">
        <v>539</v>
      </c>
      <c r="L30" t="str">
        <f>IF(Base_ventas[[#This Row],[Método_pago]]="Efectivo","Efectivo","Electrónico")</f>
        <v>Electrónico</v>
      </c>
      <c r="M30" t="str">
        <f t="shared" si="0"/>
        <v>Venta promedio</v>
      </c>
      <c r="N30" s="22"/>
      <c r="O30" s="22"/>
      <c r="P30" s="22"/>
    </row>
    <row r="31" spans="1:16" x14ac:dyDescent="0.35">
      <c r="A31">
        <v>8270</v>
      </c>
      <c r="B31" t="s">
        <v>297</v>
      </c>
      <c r="C31" s="1">
        <v>45319</v>
      </c>
      <c r="D31" t="s">
        <v>26</v>
      </c>
      <c r="E31" t="s">
        <v>25</v>
      </c>
      <c r="F31" s="6">
        <v>1844533</v>
      </c>
      <c r="G31">
        <v>3</v>
      </c>
      <c r="H31" s="6">
        <v>5533599</v>
      </c>
      <c r="I31" t="s">
        <v>569</v>
      </c>
      <c r="J31" t="s">
        <v>1608</v>
      </c>
      <c r="K31" t="s">
        <v>541</v>
      </c>
      <c r="L31" t="str">
        <f>IF(Base_ventas[[#This Row],[Método_pago]]="Efectivo","Efectivo","Electrónico")</f>
        <v>Electrónico</v>
      </c>
      <c r="M31" t="str">
        <f t="shared" si="0"/>
        <v>Best seller</v>
      </c>
      <c r="N31" s="22"/>
      <c r="O31" s="22"/>
      <c r="P31" s="22"/>
    </row>
    <row r="32" spans="1:16" x14ac:dyDescent="0.35">
      <c r="A32">
        <v>1066</v>
      </c>
      <c r="B32" t="s">
        <v>280</v>
      </c>
      <c r="C32" s="1">
        <v>45320</v>
      </c>
      <c r="D32" t="s">
        <v>26</v>
      </c>
      <c r="E32" t="s">
        <v>25</v>
      </c>
      <c r="F32" s="6">
        <v>1844533</v>
      </c>
      <c r="G32">
        <v>2</v>
      </c>
      <c r="H32" s="6">
        <v>3689066</v>
      </c>
      <c r="I32" t="s">
        <v>570</v>
      </c>
      <c r="J32" t="s">
        <v>2</v>
      </c>
      <c r="K32" t="s">
        <v>571</v>
      </c>
      <c r="L32" t="str">
        <f>IF(Base_ventas[[#This Row],[Método_pago]]="Efectivo","Efectivo","Electrónico")</f>
        <v>Efectivo</v>
      </c>
      <c r="M32" t="str">
        <f t="shared" si="0"/>
        <v>Venta promedio</v>
      </c>
      <c r="N32" s="22"/>
      <c r="O32" s="22"/>
      <c r="P32" s="22"/>
    </row>
    <row r="33" spans="1:16" x14ac:dyDescent="0.35">
      <c r="A33">
        <v>7881</v>
      </c>
      <c r="B33" t="s">
        <v>298</v>
      </c>
      <c r="C33" s="1">
        <v>45320</v>
      </c>
      <c r="D33" t="s">
        <v>30</v>
      </c>
      <c r="E33" t="s">
        <v>1</v>
      </c>
      <c r="F33" s="6">
        <v>114971</v>
      </c>
      <c r="G33">
        <v>1</v>
      </c>
      <c r="H33" s="6">
        <v>114971</v>
      </c>
      <c r="I33" t="s">
        <v>572</v>
      </c>
      <c r="J33" t="s">
        <v>4</v>
      </c>
      <c r="K33" t="s">
        <v>541</v>
      </c>
      <c r="L33" t="str">
        <f>IF(Base_ventas[[#This Row],[Método_pago]]="Efectivo","Efectivo","Electrónico")</f>
        <v>Electrónico</v>
      </c>
      <c r="M33" t="str">
        <f t="shared" si="0"/>
        <v>Venta promedio</v>
      </c>
      <c r="N33" s="22"/>
      <c r="O33" s="22"/>
      <c r="P33" s="22"/>
    </row>
    <row r="34" spans="1:16" x14ac:dyDescent="0.35">
      <c r="A34">
        <v>6118</v>
      </c>
      <c r="B34" t="s">
        <v>36</v>
      </c>
      <c r="C34" s="1">
        <v>45320</v>
      </c>
      <c r="D34" t="s">
        <v>28</v>
      </c>
      <c r="E34" t="s">
        <v>1</v>
      </c>
      <c r="F34" s="6">
        <v>177881</v>
      </c>
      <c r="G34">
        <v>3</v>
      </c>
      <c r="H34" s="6">
        <v>533643</v>
      </c>
      <c r="I34" t="s">
        <v>573</v>
      </c>
      <c r="J34" t="s">
        <v>4</v>
      </c>
      <c r="K34" t="s">
        <v>571</v>
      </c>
      <c r="L34" t="str">
        <f>IF(Base_ventas[[#This Row],[Método_pago]]="Efectivo","Efectivo","Electrónico")</f>
        <v>Electrónico</v>
      </c>
      <c r="M34" t="str">
        <f t="shared" si="0"/>
        <v>Venta promedio</v>
      </c>
      <c r="N34" s="22"/>
      <c r="O34" s="22"/>
      <c r="P34" s="22"/>
    </row>
    <row r="35" spans="1:16" x14ac:dyDescent="0.35">
      <c r="A35">
        <v>4140</v>
      </c>
      <c r="B35" t="s">
        <v>255</v>
      </c>
      <c r="C35" s="1">
        <v>45321</v>
      </c>
      <c r="D35" t="s">
        <v>24</v>
      </c>
      <c r="E35" t="s">
        <v>25</v>
      </c>
      <c r="F35" s="6">
        <v>707995</v>
      </c>
      <c r="G35">
        <v>3</v>
      </c>
      <c r="H35" s="6">
        <v>2123985</v>
      </c>
      <c r="I35" t="s">
        <v>574</v>
      </c>
      <c r="J35" t="s">
        <v>1608</v>
      </c>
      <c r="K35" t="s">
        <v>535</v>
      </c>
      <c r="L35" t="str">
        <f>IF(Base_ventas[[#This Row],[Método_pago]]="Efectivo","Efectivo","Electrónico")</f>
        <v>Electrónico</v>
      </c>
      <c r="M35" t="str">
        <f t="shared" si="0"/>
        <v>Best seller</v>
      </c>
      <c r="N35" s="22"/>
      <c r="O35" s="22"/>
      <c r="P35" s="22"/>
    </row>
    <row r="36" spans="1:16" x14ac:dyDescent="0.35">
      <c r="A36">
        <v>4001</v>
      </c>
      <c r="B36" t="s">
        <v>299</v>
      </c>
      <c r="C36" s="1">
        <v>45321</v>
      </c>
      <c r="D36" t="s">
        <v>28</v>
      </c>
      <c r="E36" t="s">
        <v>1</v>
      </c>
      <c r="F36" s="6">
        <v>177881</v>
      </c>
      <c r="G36">
        <v>3</v>
      </c>
      <c r="H36" s="6">
        <v>533643</v>
      </c>
      <c r="I36" t="s">
        <v>575</v>
      </c>
      <c r="J36" t="s">
        <v>4</v>
      </c>
      <c r="K36" t="s">
        <v>533</v>
      </c>
      <c r="L36" t="str">
        <f>IF(Base_ventas[[#This Row],[Método_pago]]="Efectivo","Efectivo","Electrónico")</f>
        <v>Electrónico</v>
      </c>
      <c r="M36" t="str">
        <f t="shared" si="0"/>
        <v>Venta promedio</v>
      </c>
      <c r="N36" s="22"/>
      <c r="O36" s="22"/>
      <c r="P36" s="22"/>
    </row>
    <row r="37" spans="1:16" x14ac:dyDescent="0.35">
      <c r="A37">
        <v>8610</v>
      </c>
      <c r="B37" t="s">
        <v>48</v>
      </c>
      <c r="C37" s="1">
        <v>45322</v>
      </c>
      <c r="D37" t="s">
        <v>24</v>
      </c>
      <c r="E37" t="s">
        <v>25</v>
      </c>
      <c r="F37" s="6">
        <v>707995</v>
      </c>
      <c r="G37">
        <v>3</v>
      </c>
      <c r="H37" s="6">
        <v>2123985</v>
      </c>
      <c r="I37" t="s">
        <v>576</v>
      </c>
      <c r="J37" t="s">
        <v>3</v>
      </c>
      <c r="K37" t="s">
        <v>577</v>
      </c>
      <c r="L37" t="str">
        <f>IF(Base_ventas[[#This Row],[Método_pago]]="Efectivo","Efectivo","Electrónico")</f>
        <v>Electrónico</v>
      </c>
      <c r="M37" t="str">
        <f t="shared" si="0"/>
        <v>Best seller</v>
      </c>
      <c r="N37" s="22"/>
      <c r="O37" s="22"/>
      <c r="P37" s="22"/>
    </row>
    <row r="38" spans="1:16" x14ac:dyDescent="0.35">
      <c r="A38">
        <v>2955</v>
      </c>
      <c r="B38" t="s">
        <v>191</v>
      </c>
      <c r="C38" s="1">
        <v>45322</v>
      </c>
      <c r="D38" t="s">
        <v>28</v>
      </c>
      <c r="E38" t="s">
        <v>1</v>
      </c>
      <c r="F38" s="6">
        <v>177881</v>
      </c>
      <c r="G38">
        <v>3</v>
      </c>
      <c r="H38" s="6">
        <v>533643</v>
      </c>
      <c r="I38" t="s">
        <v>578</v>
      </c>
      <c r="J38" t="s">
        <v>3</v>
      </c>
      <c r="K38" t="s">
        <v>579</v>
      </c>
      <c r="L38" t="str">
        <f>IF(Base_ventas[[#This Row],[Método_pago]]="Efectivo","Efectivo","Electrónico")</f>
        <v>Electrónico</v>
      </c>
      <c r="M38" t="str">
        <f t="shared" si="0"/>
        <v>Venta promedio</v>
      </c>
      <c r="N38" s="22"/>
      <c r="O38" s="22"/>
      <c r="P38" s="22"/>
    </row>
    <row r="39" spans="1:16" x14ac:dyDescent="0.35">
      <c r="A39">
        <v>5491</v>
      </c>
      <c r="B39" t="s">
        <v>199</v>
      </c>
      <c r="C39" s="1">
        <v>45323</v>
      </c>
      <c r="D39" t="s">
        <v>22</v>
      </c>
      <c r="E39" t="s">
        <v>23</v>
      </c>
      <c r="F39" s="6">
        <v>741722</v>
      </c>
      <c r="G39">
        <v>1</v>
      </c>
      <c r="H39" s="6">
        <v>741722</v>
      </c>
      <c r="I39" t="s">
        <v>580</v>
      </c>
      <c r="J39" t="s">
        <v>1608</v>
      </c>
      <c r="K39" t="s">
        <v>581</v>
      </c>
      <c r="L39" t="str">
        <f>IF(Base_ventas[[#This Row],[Método_pago]]="Efectivo","Efectivo","Electrónico")</f>
        <v>Electrónico</v>
      </c>
      <c r="M39" t="str">
        <f t="shared" si="0"/>
        <v>Venta promedio</v>
      </c>
      <c r="N39" s="22"/>
      <c r="O39" s="22"/>
      <c r="P39" s="22"/>
    </row>
    <row r="40" spans="1:16" x14ac:dyDescent="0.35">
      <c r="A40">
        <v>8752</v>
      </c>
      <c r="B40" t="s">
        <v>300</v>
      </c>
      <c r="C40" s="1">
        <v>45323</v>
      </c>
      <c r="D40" t="s">
        <v>26</v>
      </c>
      <c r="E40" t="s">
        <v>25</v>
      </c>
      <c r="F40" s="6">
        <v>1844533</v>
      </c>
      <c r="G40">
        <v>1</v>
      </c>
      <c r="H40" s="6">
        <v>1844533</v>
      </c>
      <c r="I40" t="s">
        <v>582</v>
      </c>
      <c r="J40" t="s">
        <v>2</v>
      </c>
      <c r="K40" t="s">
        <v>537</v>
      </c>
      <c r="L40" t="str">
        <f>IF(Base_ventas[[#This Row],[Método_pago]]="Efectivo","Efectivo","Electrónico")</f>
        <v>Efectivo</v>
      </c>
      <c r="M40" t="str">
        <f t="shared" si="0"/>
        <v>Venta promedio</v>
      </c>
      <c r="N40" s="22"/>
      <c r="O40" s="22"/>
      <c r="P40" s="22"/>
    </row>
    <row r="41" spans="1:16" x14ac:dyDescent="0.35">
      <c r="A41">
        <v>9939</v>
      </c>
      <c r="B41" t="s">
        <v>256</v>
      </c>
      <c r="C41" s="1">
        <v>45323</v>
      </c>
      <c r="D41" t="s">
        <v>24</v>
      </c>
      <c r="E41" t="s">
        <v>25</v>
      </c>
      <c r="F41" s="6">
        <v>707995</v>
      </c>
      <c r="G41">
        <v>1</v>
      </c>
      <c r="H41" s="6">
        <v>707995</v>
      </c>
      <c r="I41" t="s">
        <v>583</v>
      </c>
      <c r="J41" t="s">
        <v>2</v>
      </c>
      <c r="K41" t="s">
        <v>579</v>
      </c>
      <c r="L41" t="str">
        <f>IF(Base_ventas[[#This Row],[Método_pago]]="Efectivo","Efectivo","Electrónico")</f>
        <v>Efectivo</v>
      </c>
      <c r="M41" t="str">
        <f t="shared" si="0"/>
        <v>Venta promedio</v>
      </c>
      <c r="N41" s="22"/>
      <c r="O41" s="22"/>
      <c r="P41" s="22"/>
    </row>
    <row r="42" spans="1:16" x14ac:dyDescent="0.35">
      <c r="A42">
        <v>8598</v>
      </c>
      <c r="B42" t="s">
        <v>301</v>
      </c>
      <c r="C42" s="1">
        <v>45323</v>
      </c>
      <c r="D42" t="s">
        <v>28</v>
      </c>
      <c r="E42" t="s">
        <v>1</v>
      </c>
      <c r="F42" s="6">
        <v>177881</v>
      </c>
      <c r="G42">
        <v>2</v>
      </c>
      <c r="H42" s="6">
        <v>355762</v>
      </c>
      <c r="I42" t="s">
        <v>584</v>
      </c>
      <c r="J42" t="s">
        <v>4</v>
      </c>
      <c r="K42" t="s">
        <v>581</v>
      </c>
      <c r="L42" t="str">
        <f>IF(Base_ventas[[#This Row],[Método_pago]]="Efectivo","Efectivo","Electrónico")</f>
        <v>Electrónico</v>
      </c>
      <c r="M42" t="str">
        <f t="shared" si="0"/>
        <v>Venta promedio</v>
      </c>
      <c r="N42" s="22"/>
      <c r="O42" s="22"/>
      <c r="P42" s="22"/>
    </row>
    <row r="43" spans="1:16" x14ac:dyDescent="0.35">
      <c r="A43">
        <v>7365</v>
      </c>
      <c r="B43" t="s">
        <v>302</v>
      </c>
      <c r="C43" s="1">
        <v>45323</v>
      </c>
      <c r="D43" t="s">
        <v>24</v>
      </c>
      <c r="E43" t="s">
        <v>25</v>
      </c>
      <c r="F43" s="6">
        <v>707995</v>
      </c>
      <c r="G43">
        <v>1</v>
      </c>
      <c r="H43" s="6">
        <v>707995</v>
      </c>
      <c r="I43" t="s">
        <v>585</v>
      </c>
      <c r="J43" t="s">
        <v>4</v>
      </c>
      <c r="K43" t="s">
        <v>541</v>
      </c>
      <c r="L43" t="str">
        <f>IF(Base_ventas[[#This Row],[Método_pago]]="Efectivo","Efectivo","Electrónico")</f>
        <v>Electrónico</v>
      </c>
      <c r="M43" t="str">
        <f t="shared" si="0"/>
        <v>Venta promedio</v>
      </c>
      <c r="N43" s="22"/>
      <c r="O43" s="22"/>
      <c r="P43" s="22"/>
    </row>
    <row r="44" spans="1:16" x14ac:dyDescent="0.35">
      <c r="A44">
        <v>4111</v>
      </c>
      <c r="B44" t="s">
        <v>303</v>
      </c>
      <c r="C44" s="1">
        <v>45324</v>
      </c>
      <c r="D44" t="s">
        <v>24</v>
      </c>
      <c r="E44" t="s">
        <v>25</v>
      </c>
      <c r="F44" s="6">
        <v>707995</v>
      </c>
      <c r="G44">
        <v>1</v>
      </c>
      <c r="H44" s="6">
        <v>707995</v>
      </c>
      <c r="I44" t="s">
        <v>586</v>
      </c>
      <c r="J44" t="s">
        <v>1608</v>
      </c>
      <c r="K44" t="s">
        <v>537</v>
      </c>
      <c r="L44" t="str">
        <f>IF(Base_ventas[[#This Row],[Método_pago]]="Efectivo","Efectivo","Electrónico")</f>
        <v>Electrónico</v>
      </c>
      <c r="M44" t="str">
        <f t="shared" si="0"/>
        <v>Venta promedio</v>
      </c>
      <c r="N44" s="22"/>
      <c r="O44" s="22"/>
      <c r="P44" s="22"/>
    </row>
    <row r="45" spans="1:16" x14ac:dyDescent="0.35">
      <c r="A45">
        <v>9352</v>
      </c>
      <c r="B45" t="s">
        <v>304</v>
      </c>
      <c r="C45" s="1">
        <v>45324</v>
      </c>
      <c r="D45" t="s">
        <v>30</v>
      </c>
      <c r="E45" t="s">
        <v>1</v>
      </c>
      <c r="F45" s="6">
        <v>114971</v>
      </c>
      <c r="G45">
        <v>3</v>
      </c>
      <c r="H45" s="6">
        <v>344913</v>
      </c>
      <c r="I45" t="s">
        <v>587</v>
      </c>
      <c r="J45" t="s">
        <v>3</v>
      </c>
      <c r="K45" t="s">
        <v>547</v>
      </c>
      <c r="L45" t="str">
        <f>IF(Base_ventas[[#This Row],[Método_pago]]="Efectivo","Efectivo","Electrónico")</f>
        <v>Electrónico</v>
      </c>
      <c r="M45" t="str">
        <f t="shared" si="0"/>
        <v>Venta promedio</v>
      </c>
      <c r="N45" s="22"/>
      <c r="O45" s="22"/>
      <c r="P45" s="22"/>
    </row>
    <row r="46" spans="1:16" x14ac:dyDescent="0.35">
      <c r="A46">
        <v>3351</v>
      </c>
      <c r="B46" t="s">
        <v>305</v>
      </c>
      <c r="C46" s="1">
        <v>45326</v>
      </c>
      <c r="D46" t="s">
        <v>30</v>
      </c>
      <c r="E46" t="s">
        <v>1</v>
      </c>
      <c r="F46" s="6">
        <v>114971</v>
      </c>
      <c r="G46">
        <v>2</v>
      </c>
      <c r="H46" s="6">
        <v>229942</v>
      </c>
      <c r="I46" t="s">
        <v>588</v>
      </c>
      <c r="J46" t="s">
        <v>3</v>
      </c>
      <c r="K46" t="s">
        <v>541</v>
      </c>
      <c r="L46" t="str">
        <f>IF(Base_ventas[[#This Row],[Método_pago]]="Efectivo","Efectivo","Electrónico")</f>
        <v>Electrónico</v>
      </c>
      <c r="M46" t="str">
        <f t="shared" si="0"/>
        <v>Venta promedio</v>
      </c>
      <c r="N46" s="22"/>
      <c r="O46" s="22"/>
      <c r="P46" s="22"/>
    </row>
    <row r="47" spans="1:16" x14ac:dyDescent="0.35">
      <c r="A47">
        <v>6844</v>
      </c>
      <c r="B47" t="s">
        <v>242</v>
      </c>
      <c r="C47" s="1">
        <v>45326</v>
      </c>
      <c r="D47" t="s">
        <v>26</v>
      </c>
      <c r="E47" t="s">
        <v>25</v>
      </c>
      <c r="F47" s="6">
        <v>1844533</v>
      </c>
      <c r="G47">
        <v>3</v>
      </c>
      <c r="H47" s="6">
        <v>5533599</v>
      </c>
      <c r="I47" t="s">
        <v>589</v>
      </c>
      <c r="J47" t="s">
        <v>1608</v>
      </c>
      <c r="K47" t="s">
        <v>535</v>
      </c>
      <c r="L47" t="str">
        <f>IF(Base_ventas[[#This Row],[Método_pago]]="Efectivo","Efectivo","Electrónico")</f>
        <v>Electrónico</v>
      </c>
      <c r="M47" t="str">
        <f t="shared" si="0"/>
        <v>Best seller</v>
      </c>
      <c r="N47" s="22"/>
      <c r="O47" s="22"/>
      <c r="P47" s="22"/>
    </row>
    <row r="48" spans="1:16" x14ac:dyDescent="0.35">
      <c r="A48">
        <v>2108</v>
      </c>
      <c r="B48" t="s">
        <v>213</v>
      </c>
      <c r="C48" s="1">
        <v>45327</v>
      </c>
      <c r="D48" t="s">
        <v>24</v>
      </c>
      <c r="E48" t="s">
        <v>25</v>
      </c>
      <c r="F48" s="6">
        <v>707995</v>
      </c>
      <c r="G48">
        <v>1</v>
      </c>
      <c r="H48" s="6">
        <v>707995</v>
      </c>
      <c r="I48" t="s">
        <v>590</v>
      </c>
      <c r="J48" t="s">
        <v>4</v>
      </c>
      <c r="K48" t="s">
        <v>571</v>
      </c>
      <c r="L48" t="str">
        <f>IF(Base_ventas[[#This Row],[Método_pago]]="Efectivo","Efectivo","Electrónico")</f>
        <v>Electrónico</v>
      </c>
      <c r="M48" t="str">
        <f t="shared" si="0"/>
        <v>Venta promedio</v>
      </c>
      <c r="N48" s="22"/>
      <c r="O48" s="22"/>
      <c r="P48" s="22"/>
    </row>
    <row r="49" spans="1:16" x14ac:dyDescent="0.35">
      <c r="A49">
        <v>5735</v>
      </c>
      <c r="B49" t="s">
        <v>190</v>
      </c>
      <c r="C49" s="1">
        <v>45328</v>
      </c>
      <c r="D49" t="s">
        <v>24</v>
      </c>
      <c r="E49" t="s">
        <v>25</v>
      </c>
      <c r="F49" s="6">
        <v>707995</v>
      </c>
      <c r="G49">
        <v>2</v>
      </c>
      <c r="H49" s="6">
        <v>1415990</v>
      </c>
      <c r="I49" t="s">
        <v>591</v>
      </c>
      <c r="J49" t="s">
        <v>1608</v>
      </c>
      <c r="K49" t="s">
        <v>537</v>
      </c>
      <c r="L49" t="str">
        <f>IF(Base_ventas[[#This Row],[Método_pago]]="Efectivo","Efectivo","Electrónico")</f>
        <v>Electrónico</v>
      </c>
      <c r="M49" t="str">
        <f t="shared" si="0"/>
        <v>Venta promedio</v>
      </c>
      <c r="N49" s="22"/>
      <c r="O49" s="22"/>
      <c r="P49" s="22"/>
    </row>
    <row r="50" spans="1:16" x14ac:dyDescent="0.35">
      <c r="A50">
        <v>2116</v>
      </c>
      <c r="B50" t="s">
        <v>306</v>
      </c>
      <c r="C50" s="1">
        <v>45331</v>
      </c>
      <c r="D50" t="s">
        <v>26</v>
      </c>
      <c r="E50" t="s">
        <v>25</v>
      </c>
      <c r="F50" s="6">
        <v>1844533</v>
      </c>
      <c r="G50">
        <v>1</v>
      </c>
      <c r="H50" s="6">
        <v>1844533</v>
      </c>
      <c r="I50" t="s">
        <v>592</v>
      </c>
      <c r="J50" t="s">
        <v>3</v>
      </c>
      <c r="K50" t="s">
        <v>579</v>
      </c>
      <c r="L50" t="str">
        <f>IF(Base_ventas[[#This Row],[Método_pago]]="Efectivo","Efectivo","Electrónico")</f>
        <v>Electrónico</v>
      </c>
      <c r="M50" t="str">
        <f t="shared" si="0"/>
        <v>Venta promedio</v>
      </c>
      <c r="N50" s="22"/>
      <c r="O50" s="22"/>
      <c r="P50" s="22"/>
    </row>
    <row r="51" spans="1:16" x14ac:dyDescent="0.35">
      <c r="A51">
        <v>1614</v>
      </c>
      <c r="B51" t="s">
        <v>141</v>
      </c>
      <c r="C51" s="1">
        <v>45331</v>
      </c>
      <c r="D51" t="s">
        <v>28</v>
      </c>
      <c r="E51" t="s">
        <v>1</v>
      </c>
      <c r="F51" s="6">
        <v>177881</v>
      </c>
      <c r="G51">
        <v>1</v>
      </c>
      <c r="H51" s="6">
        <v>177881</v>
      </c>
      <c r="I51" t="s">
        <v>593</v>
      </c>
      <c r="J51" t="s">
        <v>3</v>
      </c>
      <c r="K51" t="s">
        <v>561</v>
      </c>
      <c r="L51" t="str">
        <f>IF(Base_ventas[[#This Row],[Método_pago]]="Efectivo","Efectivo","Electrónico")</f>
        <v>Electrónico</v>
      </c>
      <c r="M51" t="str">
        <f t="shared" si="0"/>
        <v>Venta promedio</v>
      </c>
      <c r="N51" s="22"/>
      <c r="O51" s="22"/>
      <c r="P51" s="22"/>
    </row>
    <row r="52" spans="1:16" x14ac:dyDescent="0.35">
      <c r="A52">
        <v>7957</v>
      </c>
      <c r="B52" t="s">
        <v>307</v>
      </c>
      <c r="C52" s="1">
        <v>45332</v>
      </c>
      <c r="D52" t="s">
        <v>30</v>
      </c>
      <c r="E52" t="s">
        <v>1</v>
      </c>
      <c r="F52" s="6">
        <v>114971</v>
      </c>
      <c r="G52">
        <v>2</v>
      </c>
      <c r="H52" s="6">
        <v>229942</v>
      </c>
      <c r="I52" t="s">
        <v>594</v>
      </c>
      <c r="J52" t="s">
        <v>1608</v>
      </c>
      <c r="K52" t="s">
        <v>547</v>
      </c>
      <c r="L52" t="str">
        <f>IF(Base_ventas[[#This Row],[Método_pago]]="Efectivo","Efectivo","Electrónico")</f>
        <v>Electrónico</v>
      </c>
      <c r="M52" t="str">
        <f t="shared" si="0"/>
        <v>Venta promedio</v>
      </c>
      <c r="N52" s="22"/>
      <c r="O52" s="22"/>
      <c r="P52" s="22"/>
    </row>
    <row r="53" spans="1:16" x14ac:dyDescent="0.35">
      <c r="A53">
        <v>1445</v>
      </c>
      <c r="B53" t="s">
        <v>276</v>
      </c>
      <c r="C53" s="1">
        <v>45333</v>
      </c>
      <c r="D53" t="s">
        <v>26</v>
      </c>
      <c r="E53" t="s">
        <v>25</v>
      </c>
      <c r="F53" s="6">
        <v>1844533</v>
      </c>
      <c r="G53">
        <v>3</v>
      </c>
      <c r="H53" s="6">
        <v>5533599</v>
      </c>
      <c r="I53" t="s">
        <v>595</v>
      </c>
      <c r="J53" t="s">
        <v>2</v>
      </c>
      <c r="K53" t="s">
        <v>535</v>
      </c>
      <c r="L53" t="str">
        <f>IF(Base_ventas[[#This Row],[Método_pago]]="Efectivo","Efectivo","Electrónico")</f>
        <v>Efectivo</v>
      </c>
      <c r="M53" t="str">
        <f t="shared" si="0"/>
        <v>Best seller</v>
      </c>
      <c r="N53" s="22"/>
      <c r="O53" s="22"/>
      <c r="P53" s="22"/>
    </row>
    <row r="54" spans="1:16" x14ac:dyDescent="0.35">
      <c r="A54">
        <v>3328</v>
      </c>
      <c r="B54" t="s">
        <v>308</v>
      </c>
      <c r="C54" s="1">
        <v>45334</v>
      </c>
      <c r="D54" t="s">
        <v>22</v>
      </c>
      <c r="E54" t="s">
        <v>23</v>
      </c>
      <c r="F54" s="6">
        <v>741722</v>
      </c>
      <c r="G54">
        <v>1</v>
      </c>
      <c r="H54" s="6">
        <v>741722</v>
      </c>
      <c r="I54" t="s">
        <v>596</v>
      </c>
      <c r="J54" t="s">
        <v>3</v>
      </c>
      <c r="K54" t="s">
        <v>581</v>
      </c>
      <c r="L54" t="str">
        <f>IF(Base_ventas[[#This Row],[Método_pago]]="Efectivo","Efectivo","Electrónico")</f>
        <v>Electrónico</v>
      </c>
      <c r="M54" t="str">
        <f t="shared" si="0"/>
        <v>Venta promedio</v>
      </c>
      <c r="N54" s="22"/>
      <c r="O54" s="22"/>
      <c r="P54" s="22"/>
    </row>
    <row r="55" spans="1:16" x14ac:dyDescent="0.35">
      <c r="A55">
        <v>3414</v>
      </c>
      <c r="B55" t="s">
        <v>309</v>
      </c>
      <c r="C55" s="1">
        <v>45335</v>
      </c>
      <c r="D55" t="s">
        <v>30</v>
      </c>
      <c r="E55" t="s">
        <v>1</v>
      </c>
      <c r="F55" s="6">
        <v>114971</v>
      </c>
      <c r="G55">
        <v>1</v>
      </c>
      <c r="H55" s="6">
        <v>114971</v>
      </c>
      <c r="I55" t="s">
        <v>597</v>
      </c>
      <c r="J55" t="s">
        <v>4</v>
      </c>
      <c r="K55" t="s">
        <v>577</v>
      </c>
      <c r="L55" t="str">
        <f>IF(Base_ventas[[#This Row],[Método_pago]]="Efectivo","Efectivo","Electrónico")</f>
        <v>Electrónico</v>
      </c>
      <c r="M55" t="str">
        <f t="shared" si="0"/>
        <v>Venta promedio</v>
      </c>
      <c r="N55" s="22"/>
      <c r="O55" s="22"/>
      <c r="P55" s="22"/>
    </row>
    <row r="56" spans="1:16" x14ac:dyDescent="0.35">
      <c r="A56">
        <v>2058</v>
      </c>
      <c r="B56" t="s">
        <v>310</v>
      </c>
      <c r="C56" s="1">
        <v>45335</v>
      </c>
      <c r="D56" t="s">
        <v>24</v>
      </c>
      <c r="E56" t="s">
        <v>25</v>
      </c>
      <c r="F56" s="6">
        <v>707995</v>
      </c>
      <c r="G56">
        <v>1</v>
      </c>
      <c r="H56" s="6">
        <v>707995</v>
      </c>
      <c r="I56" t="s">
        <v>598</v>
      </c>
      <c r="J56" t="s">
        <v>2</v>
      </c>
      <c r="K56" t="s">
        <v>533</v>
      </c>
      <c r="L56" t="str">
        <f>IF(Base_ventas[[#This Row],[Método_pago]]="Efectivo","Efectivo","Electrónico")</f>
        <v>Efectivo</v>
      </c>
      <c r="M56" t="str">
        <f t="shared" si="0"/>
        <v>Venta promedio</v>
      </c>
      <c r="N56" s="22"/>
      <c r="O56" s="22"/>
      <c r="P56" s="22"/>
    </row>
    <row r="57" spans="1:16" x14ac:dyDescent="0.35">
      <c r="A57">
        <v>5470</v>
      </c>
      <c r="B57" t="s">
        <v>311</v>
      </c>
      <c r="C57" s="1">
        <v>45336</v>
      </c>
      <c r="D57" t="s">
        <v>30</v>
      </c>
      <c r="E57" t="s">
        <v>1</v>
      </c>
      <c r="F57" s="6">
        <v>114971</v>
      </c>
      <c r="G57">
        <v>2</v>
      </c>
      <c r="H57" s="6">
        <v>229942</v>
      </c>
      <c r="I57" t="s">
        <v>599</v>
      </c>
      <c r="J57" t="s">
        <v>2</v>
      </c>
      <c r="K57" t="s">
        <v>539</v>
      </c>
      <c r="L57" t="str">
        <f>IF(Base_ventas[[#This Row],[Método_pago]]="Efectivo","Efectivo","Electrónico")</f>
        <v>Efectivo</v>
      </c>
      <c r="M57" t="str">
        <f t="shared" si="0"/>
        <v>Venta promedio</v>
      </c>
      <c r="N57" s="22"/>
      <c r="O57" s="22"/>
      <c r="P57" s="22"/>
    </row>
    <row r="58" spans="1:16" x14ac:dyDescent="0.35">
      <c r="A58">
        <v>3845</v>
      </c>
      <c r="B58" t="s">
        <v>68</v>
      </c>
      <c r="C58" s="1">
        <v>45338</v>
      </c>
      <c r="D58" t="s">
        <v>22</v>
      </c>
      <c r="E58" t="s">
        <v>23</v>
      </c>
      <c r="F58" s="6">
        <v>741722</v>
      </c>
      <c r="G58">
        <v>1</v>
      </c>
      <c r="H58" s="6">
        <v>741722</v>
      </c>
      <c r="I58" t="s">
        <v>600</v>
      </c>
      <c r="J58" t="s">
        <v>1608</v>
      </c>
      <c r="K58" t="s">
        <v>577</v>
      </c>
      <c r="L58" t="str">
        <f>IF(Base_ventas[[#This Row],[Método_pago]]="Efectivo","Efectivo","Electrónico")</f>
        <v>Electrónico</v>
      </c>
      <c r="M58" t="str">
        <f t="shared" si="0"/>
        <v>Venta promedio</v>
      </c>
      <c r="N58" s="22"/>
      <c r="O58" s="22"/>
      <c r="P58" s="22"/>
    </row>
    <row r="59" spans="1:16" x14ac:dyDescent="0.35">
      <c r="A59">
        <v>8008</v>
      </c>
      <c r="B59" t="s">
        <v>34</v>
      </c>
      <c r="C59" s="1">
        <v>45338</v>
      </c>
      <c r="D59" t="s">
        <v>30</v>
      </c>
      <c r="E59" t="s">
        <v>1</v>
      </c>
      <c r="F59" s="6">
        <v>114971</v>
      </c>
      <c r="G59">
        <v>3</v>
      </c>
      <c r="H59" s="6">
        <v>344913</v>
      </c>
      <c r="I59" t="s">
        <v>601</v>
      </c>
      <c r="J59" t="s">
        <v>1608</v>
      </c>
      <c r="K59" t="s">
        <v>602</v>
      </c>
      <c r="L59" t="str">
        <f>IF(Base_ventas[[#This Row],[Método_pago]]="Efectivo","Efectivo","Electrónico")</f>
        <v>Electrónico</v>
      </c>
      <c r="M59" t="str">
        <f t="shared" si="0"/>
        <v>Venta promedio</v>
      </c>
      <c r="N59" s="22"/>
      <c r="O59" s="22"/>
      <c r="P59" s="22"/>
    </row>
    <row r="60" spans="1:16" x14ac:dyDescent="0.35">
      <c r="A60">
        <v>5545</v>
      </c>
      <c r="B60" t="s">
        <v>257</v>
      </c>
      <c r="C60" s="1">
        <v>45338</v>
      </c>
      <c r="D60" t="s">
        <v>28</v>
      </c>
      <c r="E60" t="s">
        <v>1</v>
      </c>
      <c r="F60" s="6">
        <v>177881</v>
      </c>
      <c r="G60">
        <v>2</v>
      </c>
      <c r="H60" s="6">
        <v>355762</v>
      </c>
      <c r="I60" t="s">
        <v>603</v>
      </c>
      <c r="J60" t="s">
        <v>4</v>
      </c>
      <c r="K60" t="s">
        <v>537</v>
      </c>
      <c r="L60" t="str">
        <f>IF(Base_ventas[[#This Row],[Método_pago]]="Efectivo","Efectivo","Electrónico")</f>
        <v>Electrónico</v>
      </c>
      <c r="M60" t="str">
        <f t="shared" si="0"/>
        <v>Venta promedio</v>
      </c>
      <c r="N60" s="22"/>
      <c r="O60" s="22"/>
      <c r="P60" s="22"/>
    </row>
    <row r="61" spans="1:16" x14ac:dyDescent="0.35">
      <c r="A61">
        <v>2352</v>
      </c>
      <c r="B61" t="s">
        <v>312</v>
      </c>
      <c r="C61" s="1">
        <v>45340</v>
      </c>
      <c r="D61" t="s">
        <v>26</v>
      </c>
      <c r="E61" t="s">
        <v>25</v>
      </c>
      <c r="F61" s="6">
        <v>1844533</v>
      </c>
      <c r="G61">
        <v>2</v>
      </c>
      <c r="H61" s="6">
        <v>3689066</v>
      </c>
      <c r="I61" t="s">
        <v>604</v>
      </c>
      <c r="J61" t="s">
        <v>2</v>
      </c>
      <c r="K61" t="s">
        <v>543</v>
      </c>
      <c r="L61" t="str">
        <f>IF(Base_ventas[[#This Row],[Método_pago]]="Efectivo","Efectivo","Electrónico")</f>
        <v>Efectivo</v>
      </c>
      <c r="M61" t="str">
        <f t="shared" si="0"/>
        <v>Venta promedio</v>
      </c>
      <c r="N61" s="22"/>
      <c r="O61" s="22"/>
      <c r="P61" s="22"/>
    </row>
    <row r="62" spans="1:16" x14ac:dyDescent="0.35">
      <c r="A62">
        <v>8090</v>
      </c>
      <c r="B62" t="s">
        <v>313</v>
      </c>
      <c r="C62" s="1">
        <v>45340</v>
      </c>
      <c r="D62" t="s">
        <v>26</v>
      </c>
      <c r="E62" t="s">
        <v>25</v>
      </c>
      <c r="F62" s="6">
        <v>1844533</v>
      </c>
      <c r="G62">
        <v>2</v>
      </c>
      <c r="H62" s="6">
        <v>3689066</v>
      </c>
      <c r="I62" t="s">
        <v>605</v>
      </c>
      <c r="J62" t="s">
        <v>3</v>
      </c>
      <c r="K62" t="s">
        <v>602</v>
      </c>
      <c r="L62" t="str">
        <f>IF(Base_ventas[[#This Row],[Método_pago]]="Efectivo","Efectivo","Electrónico")</f>
        <v>Electrónico</v>
      </c>
      <c r="M62" t="str">
        <f t="shared" si="0"/>
        <v>Venta promedio</v>
      </c>
      <c r="N62" s="22"/>
      <c r="O62" s="22"/>
      <c r="P62" s="22"/>
    </row>
    <row r="63" spans="1:16" x14ac:dyDescent="0.35">
      <c r="A63">
        <v>9273</v>
      </c>
      <c r="B63" t="s">
        <v>39</v>
      </c>
      <c r="C63" s="1">
        <v>45340</v>
      </c>
      <c r="D63" t="s">
        <v>28</v>
      </c>
      <c r="E63" t="s">
        <v>1</v>
      </c>
      <c r="F63" s="6">
        <v>177881</v>
      </c>
      <c r="G63">
        <v>3</v>
      </c>
      <c r="H63" s="6">
        <v>533643</v>
      </c>
      <c r="I63" t="s">
        <v>606</v>
      </c>
      <c r="J63" t="s">
        <v>4</v>
      </c>
      <c r="K63" t="s">
        <v>561</v>
      </c>
      <c r="L63" t="str">
        <f>IF(Base_ventas[[#This Row],[Método_pago]]="Efectivo","Efectivo","Electrónico")</f>
        <v>Electrónico</v>
      </c>
      <c r="M63" t="str">
        <f t="shared" si="0"/>
        <v>Venta promedio</v>
      </c>
      <c r="N63" s="22"/>
      <c r="O63" s="22"/>
      <c r="P63" s="22"/>
    </row>
    <row r="64" spans="1:16" x14ac:dyDescent="0.35">
      <c r="A64">
        <v>4996</v>
      </c>
      <c r="B64" t="s">
        <v>185</v>
      </c>
      <c r="C64" s="1">
        <v>45340</v>
      </c>
      <c r="D64" t="s">
        <v>24</v>
      </c>
      <c r="E64" t="s">
        <v>25</v>
      </c>
      <c r="F64" s="6">
        <v>707995</v>
      </c>
      <c r="G64">
        <v>1</v>
      </c>
      <c r="H64" s="6">
        <v>707995</v>
      </c>
      <c r="I64" t="s">
        <v>607</v>
      </c>
      <c r="J64" t="s">
        <v>2</v>
      </c>
      <c r="K64" t="s">
        <v>577</v>
      </c>
      <c r="L64" t="str">
        <f>IF(Base_ventas[[#This Row],[Método_pago]]="Efectivo","Efectivo","Electrónico")</f>
        <v>Efectivo</v>
      </c>
      <c r="M64" t="str">
        <f t="shared" si="0"/>
        <v>Venta promedio</v>
      </c>
      <c r="N64" s="22"/>
      <c r="O64" s="22"/>
      <c r="P64" s="22"/>
    </row>
    <row r="65" spans="1:16" x14ac:dyDescent="0.35">
      <c r="A65">
        <v>4795</v>
      </c>
      <c r="B65" t="s">
        <v>73</v>
      </c>
      <c r="C65" s="1">
        <v>45342</v>
      </c>
      <c r="D65" t="s">
        <v>28</v>
      </c>
      <c r="E65" t="s">
        <v>1</v>
      </c>
      <c r="F65" s="6">
        <v>177881</v>
      </c>
      <c r="G65">
        <v>3</v>
      </c>
      <c r="H65" s="6">
        <v>533643</v>
      </c>
      <c r="I65" t="s">
        <v>608</v>
      </c>
      <c r="J65" t="s">
        <v>1608</v>
      </c>
      <c r="K65" t="s">
        <v>547</v>
      </c>
      <c r="L65" t="str">
        <f>IF(Base_ventas[[#This Row],[Método_pago]]="Efectivo","Efectivo","Electrónico")</f>
        <v>Electrónico</v>
      </c>
      <c r="M65" t="str">
        <f t="shared" si="0"/>
        <v>Venta promedio</v>
      </c>
      <c r="N65" s="22"/>
      <c r="O65" s="22"/>
      <c r="P65" s="22"/>
    </row>
    <row r="66" spans="1:16" x14ac:dyDescent="0.35">
      <c r="A66">
        <v>1966</v>
      </c>
      <c r="B66" t="s">
        <v>314</v>
      </c>
      <c r="C66" s="1">
        <v>45343</v>
      </c>
      <c r="D66" t="s">
        <v>30</v>
      </c>
      <c r="E66" t="s">
        <v>1</v>
      </c>
      <c r="F66" s="6">
        <v>114971</v>
      </c>
      <c r="G66">
        <v>2</v>
      </c>
      <c r="H66" s="6">
        <v>229942</v>
      </c>
      <c r="I66" t="s">
        <v>609</v>
      </c>
      <c r="J66" t="s">
        <v>2</v>
      </c>
      <c r="K66" t="s">
        <v>561</v>
      </c>
      <c r="L66" t="str">
        <f>IF(Base_ventas[[#This Row],[Método_pago]]="Efectivo","Efectivo","Electrónico")</f>
        <v>Efectivo</v>
      </c>
      <c r="M66" t="str">
        <f t="shared" si="0"/>
        <v>Venta promedio</v>
      </c>
      <c r="N66" s="22"/>
      <c r="O66" s="22"/>
      <c r="P66" s="22"/>
    </row>
    <row r="67" spans="1:16" x14ac:dyDescent="0.35">
      <c r="A67">
        <v>5122</v>
      </c>
      <c r="B67" t="s">
        <v>315</v>
      </c>
      <c r="C67" s="1">
        <v>45343</v>
      </c>
      <c r="D67" t="s">
        <v>28</v>
      </c>
      <c r="E67" t="s">
        <v>1</v>
      </c>
      <c r="F67" s="6">
        <v>177881</v>
      </c>
      <c r="G67">
        <v>3</v>
      </c>
      <c r="H67" s="6">
        <v>533643</v>
      </c>
      <c r="I67" t="s">
        <v>610</v>
      </c>
      <c r="J67" t="s">
        <v>1608</v>
      </c>
      <c r="K67" t="s">
        <v>537</v>
      </c>
      <c r="L67" t="str">
        <f>IF(Base_ventas[[#This Row],[Método_pago]]="Efectivo","Efectivo","Electrónico")</f>
        <v>Electrónico</v>
      </c>
      <c r="M67" t="str">
        <f t="shared" si="0"/>
        <v>Venta promedio</v>
      </c>
      <c r="N67" s="22"/>
      <c r="O67" s="22"/>
      <c r="P67" s="22"/>
    </row>
    <row r="68" spans="1:16" x14ac:dyDescent="0.35">
      <c r="A68">
        <v>8522</v>
      </c>
      <c r="B68" t="s">
        <v>55</v>
      </c>
      <c r="C68" s="1">
        <v>45343</v>
      </c>
      <c r="D68" t="s">
        <v>22</v>
      </c>
      <c r="E68" t="s">
        <v>23</v>
      </c>
      <c r="F68" s="6">
        <v>741722</v>
      </c>
      <c r="G68">
        <v>1</v>
      </c>
      <c r="H68" s="6">
        <v>741722</v>
      </c>
      <c r="I68" t="s">
        <v>611</v>
      </c>
      <c r="J68" t="s">
        <v>2</v>
      </c>
      <c r="K68" t="s">
        <v>571</v>
      </c>
      <c r="L68" t="str">
        <f>IF(Base_ventas[[#This Row],[Método_pago]]="Efectivo","Efectivo","Electrónico")</f>
        <v>Efectivo</v>
      </c>
      <c r="M68" t="str">
        <f t="shared" ref="M68:M131" si="1">IF(AND(G68&gt;2,H68&gt;=1000000),"Best seller","Venta promedio")</f>
        <v>Venta promedio</v>
      </c>
      <c r="N68" s="22"/>
      <c r="O68" s="22"/>
      <c r="P68" s="22"/>
    </row>
    <row r="69" spans="1:16" x14ac:dyDescent="0.35">
      <c r="A69">
        <v>4500</v>
      </c>
      <c r="B69" t="s">
        <v>316</v>
      </c>
      <c r="C69" s="1">
        <v>45343</v>
      </c>
      <c r="D69" t="s">
        <v>26</v>
      </c>
      <c r="E69" t="s">
        <v>25</v>
      </c>
      <c r="F69" s="6">
        <v>1844533</v>
      </c>
      <c r="G69">
        <v>3</v>
      </c>
      <c r="H69" s="6">
        <v>5533599</v>
      </c>
      <c r="I69" t="s">
        <v>612</v>
      </c>
      <c r="J69" t="s">
        <v>2</v>
      </c>
      <c r="K69" t="s">
        <v>579</v>
      </c>
      <c r="L69" t="str">
        <f>IF(Base_ventas[[#This Row],[Método_pago]]="Efectivo","Efectivo","Electrónico")</f>
        <v>Efectivo</v>
      </c>
      <c r="M69" t="str">
        <f t="shared" si="1"/>
        <v>Best seller</v>
      </c>
      <c r="N69" s="22"/>
      <c r="O69" s="22"/>
      <c r="P69" s="22"/>
    </row>
    <row r="70" spans="1:16" x14ac:dyDescent="0.35">
      <c r="A70">
        <v>3993</v>
      </c>
      <c r="B70" t="s">
        <v>244</v>
      </c>
      <c r="C70" s="1">
        <v>45344</v>
      </c>
      <c r="D70" t="s">
        <v>24</v>
      </c>
      <c r="E70" t="s">
        <v>25</v>
      </c>
      <c r="F70" s="6">
        <v>707995</v>
      </c>
      <c r="G70">
        <v>1</v>
      </c>
      <c r="H70" s="6">
        <v>707995</v>
      </c>
      <c r="I70" t="s">
        <v>613</v>
      </c>
      <c r="J70" t="s">
        <v>1608</v>
      </c>
      <c r="K70" t="s">
        <v>581</v>
      </c>
      <c r="L70" t="str">
        <f>IF(Base_ventas[[#This Row],[Método_pago]]="Efectivo","Efectivo","Electrónico")</f>
        <v>Electrónico</v>
      </c>
      <c r="M70" t="str">
        <f t="shared" si="1"/>
        <v>Venta promedio</v>
      </c>
      <c r="N70" s="22"/>
      <c r="O70" s="22"/>
      <c r="P70" s="22"/>
    </row>
    <row r="71" spans="1:16" x14ac:dyDescent="0.35">
      <c r="A71">
        <v>2517</v>
      </c>
      <c r="B71" t="s">
        <v>317</v>
      </c>
      <c r="C71" s="1">
        <v>45345</v>
      </c>
      <c r="D71" t="s">
        <v>26</v>
      </c>
      <c r="E71" t="s">
        <v>25</v>
      </c>
      <c r="F71" s="6">
        <v>1844533</v>
      </c>
      <c r="G71">
        <v>2</v>
      </c>
      <c r="H71" s="6">
        <v>3689066</v>
      </c>
      <c r="I71" t="s">
        <v>614</v>
      </c>
      <c r="J71" t="s">
        <v>2</v>
      </c>
      <c r="K71" t="s">
        <v>577</v>
      </c>
      <c r="L71" t="str">
        <f>IF(Base_ventas[[#This Row],[Método_pago]]="Efectivo","Efectivo","Electrónico")</f>
        <v>Efectivo</v>
      </c>
      <c r="M71" t="str">
        <f t="shared" si="1"/>
        <v>Venta promedio</v>
      </c>
      <c r="N71" s="22"/>
      <c r="O71" s="22"/>
      <c r="P71" s="22"/>
    </row>
    <row r="72" spans="1:16" x14ac:dyDescent="0.35">
      <c r="A72">
        <v>8019</v>
      </c>
      <c r="B72" t="s">
        <v>318</v>
      </c>
      <c r="C72" s="1">
        <v>45345</v>
      </c>
      <c r="D72" t="s">
        <v>28</v>
      </c>
      <c r="E72" t="s">
        <v>1</v>
      </c>
      <c r="F72" s="6">
        <v>177881</v>
      </c>
      <c r="G72">
        <v>3</v>
      </c>
      <c r="H72" s="6">
        <v>533643</v>
      </c>
      <c r="I72" t="s">
        <v>615</v>
      </c>
      <c r="J72" t="s">
        <v>4</v>
      </c>
      <c r="K72" t="s">
        <v>577</v>
      </c>
      <c r="L72" t="str">
        <f>IF(Base_ventas[[#This Row],[Método_pago]]="Efectivo","Efectivo","Electrónico")</f>
        <v>Electrónico</v>
      </c>
      <c r="M72" t="str">
        <f t="shared" si="1"/>
        <v>Venta promedio</v>
      </c>
      <c r="N72" s="22"/>
      <c r="O72" s="22"/>
      <c r="P72" s="22"/>
    </row>
    <row r="73" spans="1:16" x14ac:dyDescent="0.35">
      <c r="A73">
        <v>5579</v>
      </c>
      <c r="B73" t="s">
        <v>319</v>
      </c>
      <c r="C73" s="1">
        <v>45346</v>
      </c>
      <c r="D73" t="s">
        <v>26</v>
      </c>
      <c r="E73" t="s">
        <v>25</v>
      </c>
      <c r="F73" s="6">
        <v>1844533</v>
      </c>
      <c r="G73">
        <v>3</v>
      </c>
      <c r="H73" s="6">
        <v>5533599</v>
      </c>
      <c r="I73" t="s">
        <v>616</v>
      </c>
      <c r="J73" t="s">
        <v>2</v>
      </c>
      <c r="K73" t="s">
        <v>543</v>
      </c>
      <c r="L73" t="str">
        <f>IF(Base_ventas[[#This Row],[Método_pago]]="Efectivo","Efectivo","Electrónico")</f>
        <v>Efectivo</v>
      </c>
      <c r="M73" t="str">
        <f t="shared" si="1"/>
        <v>Best seller</v>
      </c>
      <c r="N73" s="22"/>
      <c r="O73" s="22"/>
      <c r="P73" s="22"/>
    </row>
    <row r="74" spans="1:16" x14ac:dyDescent="0.35">
      <c r="A74">
        <v>5811</v>
      </c>
      <c r="B74" t="s">
        <v>320</v>
      </c>
      <c r="C74" s="1">
        <v>45347</v>
      </c>
      <c r="D74" t="s">
        <v>30</v>
      </c>
      <c r="E74" t="s">
        <v>1</v>
      </c>
      <c r="F74" s="6">
        <v>114971</v>
      </c>
      <c r="G74">
        <v>1</v>
      </c>
      <c r="H74" s="6">
        <v>114971</v>
      </c>
      <c r="I74" t="s">
        <v>617</v>
      </c>
      <c r="J74" t="s">
        <v>4</v>
      </c>
      <c r="K74" t="s">
        <v>577</v>
      </c>
      <c r="L74" t="str">
        <f>IF(Base_ventas[[#This Row],[Método_pago]]="Efectivo","Efectivo","Electrónico")</f>
        <v>Electrónico</v>
      </c>
      <c r="M74" t="str">
        <f t="shared" si="1"/>
        <v>Venta promedio</v>
      </c>
      <c r="N74" s="22"/>
      <c r="O74" s="22"/>
      <c r="P74" s="22"/>
    </row>
    <row r="75" spans="1:16" x14ac:dyDescent="0.35">
      <c r="A75">
        <v>2934</v>
      </c>
      <c r="B75" t="s">
        <v>321</v>
      </c>
      <c r="C75" s="1">
        <v>45347</v>
      </c>
      <c r="D75" t="s">
        <v>28</v>
      </c>
      <c r="E75" t="s">
        <v>1</v>
      </c>
      <c r="F75" s="6">
        <v>177881</v>
      </c>
      <c r="G75">
        <v>3</v>
      </c>
      <c r="H75" s="6">
        <v>533643</v>
      </c>
      <c r="I75" t="s">
        <v>618</v>
      </c>
      <c r="J75" t="s">
        <v>2</v>
      </c>
      <c r="K75" t="s">
        <v>579</v>
      </c>
      <c r="L75" t="str">
        <f>IF(Base_ventas[[#This Row],[Método_pago]]="Efectivo","Efectivo","Electrónico")</f>
        <v>Efectivo</v>
      </c>
      <c r="M75" t="str">
        <f t="shared" si="1"/>
        <v>Venta promedio</v>
      </c>
      <c r="N75" s="22"/>
      <c r="O75" s="22"/>
      <c r="P75" s="22"/>
    </row>
    <row r="76" spans="1:16" x14ac:dyDescent="0.35">
      <c r="A76">
        <v>5311</v>
      </c>
      <c r="B76" t="s">
        <v>61</v>
      </c>
      <c r="C76" s="1">
        <v>45347</v>
      </c>
      <c r="D76" t="s">
        <v>22</v>
      </c>
      <c r="E76" t="s">
        <v>23</v>
      </c>
      <c r="F76" s="6">
        <v>741722</v>
      </c>
      <c r="G76">
        <v>2</v>
      </c>
      <c r="H76" s="6">
        <v>1483444</v>
      </c>
      <c r="I76" t="s">
        <v>619</v>
      </c>
      <c r="J76" t="s">
        <v>2</v>
      </c>
      <c r="K76" t="s">
        <v>543</v>
      </c>
      <c r="L76" t="str">
        <f>IF(Base_ventas[[#This Row],[Método_pago]]="Efectivo","Efectivo","Electrónico")</f>
        <v>Efectivo</v>
      </c>
      <c r="M76" t="str">
        <f t="shared" si="1"/>
        <v>Venta promedio</v>
      </c>
      <c r="N76" s="22"/>
      <c r="O76" s="22"/>
      <c r="P76" s="22"/>
    </row>
    <row r="77" spans="1:16" x14ac:dyDescent="0.35">
      <c r="A77">
        <v>9903</v>
      </c>
      <c r="B77" t="s">
        <v>74</v>
      </c>
      <c r="C77" s="1">
        <v>45349</v>
      </c>
      <c r="D77" t="s">
        <v>30</v>
      </c>
      <c r="E77" t="s">
        <v>1</v>
      </c>
      <c r="F77" s="6">
        <v>114971</v>
      </c>
      <c r="G77">
        <v>1</v>
      </c>
      <c r="H77" s="6">
        <v>114971</v>
      </c>
      <c r="I77" t="s">
        <v>620</v>
      </c>
      <c r="J77" t="s">
        <v>1608</v>
      </c>
      <c r="K77" t="s">
        <v>539</v>
      </c>
      <c r="L77" t="str">
        <f>IF(Base_ventas[[#This Row],[Método_pago]]="Efectivo","Efectivo","Electrónico")</f>
        <v>Electrónico</v>
      </c>
      <c r="M77" t="str">
        <f t="shared" si="1"/>
        <v>Venta promedio</v>
      </c>
      <c r="N77" s="22"/>
      <c r="O77" s="22"/>
      <c r="P77" s="22"/>
    </row>
    <row r="78" spans="1:16" x14ac:dyDescent="0.35">
      <c r="A78">
        <v>3449</v>
      </c>
      <c r="B78" t="s">
        <v>168</v>
      </c>
      <c r="C78" s="1">
        <v>45349</v>
      </c>
      <c r="D78" t="s">
        <v>22</v>
      </c>
      <c r="E78" t="s">
        <v>23</v>
      </c>
      <c r="F78" s="6">
        <v>741722</v>
      </c>
      <c r="G78">
        <v>2</v>
      </c>
      <c r="H78" s="6">
        <v>1483444</v>
      </c>
      <c r="I78" t="s">
        <v>621</v>
      </c>
      <c r="J78" t="s">
        <v>1608</v>
      </c>
      <c r="K78" t="s">
        <v>622</v>
      </c>
      <c r="L78" t="str">
        <f>IF(Base_ventas[[#This Row],[Método_pago]]="Efectivo","Efectivo","Electrónico")</f>
        <v>Electrónico</v>
      </c>
      <c r="M78" t="str">
        <f t="shared" si="1"/>
        <v>Venta promedio</v>
      </c>
      <c r="N78" s="22"/>
      <c r="O78" s="22"/>
      <c r="P78" s="22"/>
    </row>
    <row r="79" spans="1:16" x14ac:dyDescent="0.35">
      <c r="A79">
        <v>7182</v>
      </c>
      <c r="B79" t="s">
        <v>322</v>
      </c>
      <c r="C79" s="1">
        <v>45349</v>
      </c>
      <c r="D79" t="s">
        <v>24</v>
      </c>
      <c r="E79" t="s">
        <v>25</v>
      </c>
      <c r="F79" s="6">
        <v>707995</v>
      </c>
      <c r="G79">
        <v>1</v>
      </c>
      <c r="H79" s="6">
        <v>707995</v>
      </c>
      <c r="I79" t="s">
        <v>623</v>
      </c>
      <c r="J79" t="s">
        <v>2</v>
      </c>
      <c r="K79" t="s">
        <v>561</v>
      </c>
      <c r="L79" t="str">
        <f>IF(Base_ventas[[#This Row],[Método_pago]]="Efectivo","Efectivo","Electrónico")</f>
        <v>Efectivo</v>
      </c>
      <c r="M79" t="str">
        <f t="shared" si="1"/>
        <v>Venta promedio</v>
      </c>
      <c r="N79" s="22"/>
      <c r="O79" s="22"/>
      <c r="P79" s="22"/>
    </row>
    <row r="80" spans="1:16" x14ac:dyDescent="0.35">
      <c r="A80">
        <v>9345</v>
      </c>
      <c r="B80" t="s">
        <v>323</v>
      </c>
      <c r="C80" s="1">
        <v>45349</v>
      </c>
      <c r="D80" t="s">
        <v>30</v>
      </c>
      <c r="E80" t="s">
        <v>1</v>
      </c>
      <c r="F80" s="6">
        <v>114971</v>
      </c>
      <c r="G80">
        <v>3</v>
      </c>
      <c r="H80" s="6">
        <v>344913</v>
      </c>
      <c r="I80" t="s">
        <v>624</v>
      </c>
      <c r="J80" t="s">
        <v>3</v>
      </c>
      <c r="K80" t="s">
        <v>579</v>
      </c>
      <c r="L80" t="str">
        <f>IF(Base_ventas[[#This Row],[Método_pago]]="Efectivo","Efectivo","Electrónico")</f>
        <v>Electrónico</v>
      </c>
      <c r="M80" t="str">
        <f t="shared" si="1"/>
        <v>Venta promedio</v>
      </c>
      <c r="N80" s="22"/>
      <c r="O80" s="22"/>
      <c r="P80" s="22"/>
    </row>
    <row r="81" spans="1:16" x14ac:dyDescent="0.35">
      <c r="A81">
        <v>3205</v>
      </c>
      <c r="B81" t="s">
        <v>324</v>
      </c>
      <c r="C81" s="1">
        <v>45350</v>
      </c>
      <c r="D81" t="s">
        <v>26</v>
      </c>
      <c r="E81" t="s">
        <v>25</v>
      </c>
      <c r="F81" s="6">
        <v>1844533</v>
      </c>
      <c r="G81">
        <v>3</v>
      </c>
      <c r="H81" s="6">
        <v>5533599</v>
      </c>
      <c r="I81" t="s">
        <v>625</v>
      </c>
      <c r="J81" t="s">
        <v>2</v>
      </c>
      <c r="K81" t="s">
        <v>579</v>
      </c>
      <c r="L81" t="str">
        <f>IF(Base_ventas[[#This Row],[Método_pago]]="Efectivo","Efectivo","Electrónico")</f>
        <v>Efectivo</v>
      </c>
      <c r="M81" t="str">
        <f t="shared" si="1"/>
        <v>Best seller</v>
      </c>
      <c r="N81" s="22"/>
      <c r="O81" s="22"/>
      <c r="P81" s="22"/>
    </row>
    <row r="82" spans="1:16" x14ac:dyDescent="0.35">
      <c r="A82">
        <v>9248</v>
      </c>
      <c r="B82" t="s">
        <v>325</v>
      </c>
      <c r="C82" s="1">
        <v>45352</v>
      </c>
      <c r="D82" t="s">
        <v>26</v>
      </c>
      <c r="E82" t="s">
        <v>25</v>
      </c>
      <c r="F82" s="6">
        <v>1844533</v>
      </c>
      <c r="G82">
        <v>3</v>
      </c>
      <c r="H82" s="6">
        <v>5533599</v>
      </c>
      <c r="I82" t="s">
        <v>626</v>
      </c>
      <c r="J82" t="s">
        <v>3</v>
      </c>
      <c r="K82" t="s">
        <v>622</v>
      </c>
      <c r="L82" t="str">
        <f>IF(Base_ventas[[#This Row],[Método_pago]]="Efectivo","Efectivo","Electrónico")</f>
        <v>Electrónico</v>
      </c>
      <c r="M82" t="str">
        <f t="shared" si="1"/>
        <v>Best seller</v>
      </c>
      <c r="N82" s="22"/>
      <c r="O82" s="22"/>
      <c r="P82" s="22"/>
    </row>
    <row r="83" spans="1:16" x14ac:dyDescent="0.35">
      <c r="A83">
        <v>6797</v>
      </c>
      <c r="B83" t="s">
        <v>326</v>
      </c>
      <c r="C83" s="1">
        <v>45353</v>
      </c>
      <c r="D83" t="s">
        <v>24</v>
      </c>
      <c r="E83" t="s">
        <v>25</v>
      </c>
      <c r="F83" s="6">
        <v>707995</v>
      </c>
      <c r="G83">
        <v>1</v>
      </c>
      <c r="H83" s="6">
        <v>707995</v>
      </c>
      <c r="I83" t="s">
        <v>627</v>
      </c>
      <c r="J83" t="s">
        <v>1608</v>
      </c>
      <c r="K83" t="s">
        <v>602</v>
      </c>
      <c r="L83" t="str">
        <f>IF(Base_ventas[[#This Row],[Método_pago]]="Efectivo","Efectivo","Electrónico")</f>
        <v>Electrónico</v>
      </c>
      <c r="M83" t="str">
        <f t="shared" si="1"/>
        <v>Venta promedio</v>
      </c>
      <c r="N83" s="22"/>
      <c r="O83" s="22"/>
      <c r="P83" s="22"/>
    </row>
    <row r="84" spans="1:16" x14ac:dyDescent="0.35">
      <c r="A84">
        <v>7069</v>
      </c>
      <c r="B84" t="s">
        <v>157</v>
      </c>
      <c r="C84" s="1">
        <v>45353</v>
      </c>
      <c r="D84" t="s">
        <v>28</v>
      </c>
      <c r="E84" t="s">
        <v>1</v>
      </c>
      <c r="F84" s="6">
        <v>177881</v>
      </c>
      <c r="G84">
        <v>3</v>
      </c>
      <c r="H84" s="6">
        <v>533643</v>
      </c>
      <c r="I84" t="s">
        <v>628</v>
      </c>
      <c r="J84" t="s">
        <v>1608</v>
      </c>
      <c r="K84" t="s">
        <v>535</v>
      </c>
      <c r="L84" t="str">
        <f>IF(Base_ventas[[#This Row],[Método_pago]]="Efectivo","Efectivo","Electrónico")</f>
        <v>Electrónico</v>
      </c>
      <c r="M84" t="str">
        <f t="shared" si="1"/>
        <v>Venta promedio</v>
      </c>
      <c r="N84" s="22"/>
      <c r="O84" s="22"/>
      <c r="P84" s="22"/>
    </row>
    <row r="85" spans="1:16" x14ac:dyDescent="0.35">
      <c r="A85">
        <v>8884</v>
      </c>
      <c r="B85" t="s">
        <v>196</v>
      </c>
      <c r="C85" s="1">
        <v>45355</v>
      </c>
      <c r="D85" t="s">
        <v>30</v>
      </c>
      <c r="E85" t="s">
        <v>1</v>
      </c>
      <c r="F85" s="6">
        <v>114971</v>
      </c>
      <c r="G85">
        <v>1</v>
      </c>
      <c r="H85" s="6">
        <v>114971</v>
      </c>
      <c r="I85" t="s">
        <v>629</v>
      </c>
      <c r="J85" t="s">
        <v>4</v>
      </c>
      <c r="K85" t="s">
        <v>537</v>
      </c>
      <c r="L85" t="str">
        <f>IF(Base_ventas[[#This Row],[Método_pago]]="Efectivo","Efectivo","Electrónico")</f>
        <v>Electrónico</v>
      </c>
      <c r="M85" t="str">
        <f t="shared" si="1"/>
        <v>Venta promedio</v>
      </c>
      <c r="N85" s="22"/>
      <c r="O85" s="22"/>
      <c r="P85" s="22"/>
    </row>
    <row r="86" spans="1:16" x14ac:dyDescent="0.35">
      <c r="A86">
        <v>3867</v>
      </c>
      <c r="B86" t="s">
        <v>327</v>
      </c>
      <c r="C86" s="1">
        <v>45355</v>
      </c>
      <c r="D86" t="s">
        <v>28</v>
      </c>
      <c r="E86" t="s">
        <v>1</v>
      </c>
      <c r="F86" s="6">
        <v>177881</v>
      </c>
      <c r="G86">
        <v>2</v>
      </c>
      <c r="H86" s="6">
        <v>355762</v>
      </c>
      <c r="I86" t="s">
        <v>630</v>
      </c>
      <c r="J86" t="s">
        <v>4</v>
      </c>
      <c r="K86" t="s">
        <v>535</v>
      </c>
      <c r="L86" t="str">
        <f>IF(Base_ventas[[#This Row],[Método_pago]]="Efectivo","Efectivo","Electrónico")</f>
        <v>Electrónico</v>
      </c>
      <c r="M86" t="str">
        <f t="shared" si="1"/>
        <v>Venta promedio</v>
      </c>
      <c r="N86" s="22"/>
      <c r="O86" s="22"/>
      <c r="P86" s="22"/>
    </row>
    <row r="87" spans="1:16" x14ac:dyDescent="0.35">
      <c r="A87">
        <v>9935</v>
      </c>
      <c r="B87" t="s">
        <v>33</v>
      </c>
      <c r="C87" s="1">
        <v>45356</v>
      </c>
      <c r="D87" t="s">
        <v>28</v>
      </c>
      <c r="E87" t="s">
        <v>1</v>
      </c>
      <c r="F87" s="6">
        <v>177881</v>
      </c>
      <c r="G87">
        <v>2</v>
      </c>
      <c r="H87" s="6">
        <v>355762</v>
      </c>
      <c r="I87" t="s">
        <v>631</v>
      </c>
      <c r="J87" t="s">
        <v>3</v>
      </c>
      <c r="K87" t="s">
        <v>581</v>
      </c>
      <c r="L87" t="str">
        <f>IF(Base_ventas[[#This Row],[Método_pago]]="Efectivo","Efectivo","Electrónico")</f>
        <v>Electrónico</v>
      </c>
      <c r="M87" t="str">
        <f t="shared" si="1"/>
        <v>Venta promedio</v>
      </c>
      <c r="N87" s="22"/>
      <c r="O87" s="22"/>
      <c r="P87" s="22"/>
    </row>
    <row r="88" spans="1:16" x14ac:dyDescent="0.35">
      <c r="A88">
        <v>3462</v>
      </c>
      <c r="B88" t="s">
        <v>328</v>
      </c>
      <c r="C88" s="1">
        <v>45357</v>
      </c>
      <c r="D88" t="s">
        <v>28</v>
      </c>
      <c r="E88" t="s">
        <v>1</v>
      </c>
      <c r="F88" s="6">
        <v>177881</v>
      </c>
      <c r="G88">
        <v>1</v>
      </c>
      <c r="H88" s="6">
        <v>177881</v>
      </c>
      <c r="I88" t="s">
        <v>632</v>
      </c>
      <c r="J88" t="s">
        <v>4</v>
      </c>
      <c r="K88" t="s">
        <v>535</v>
      </c>
      <c r="L88" t="str">
        <f>IF(Base_ventas[[#This Row],[Método_pago]]="Efectivo","Efectivo","Electrónico")</f>
        <v>Electrónico</v>
      </c>
      <c r="M88" t="str">
        <f t="shared" si="1"/>
        <v>Venta promedio</v>
      </c>
      <c r="N88" s="22"/>
      <c r="O88" s="22"/>
      <c r="P88" s="22"/>
    </row>
    <row r="89" spans="1:16" x14ac:dyDescent="0.35">
      <c r="A89">
        <v>1215</v>
      </c>
      <c r="B89" t="s">
        <v>329</v>
      </c>
      <c r="C89" s="1">
        <v>45359</v>
      </c>
      <c r="D89" t="s">
        <v>22</v>
      </c>
      <c r="E89" t="s">
        <v>23</v>
      </c>
      <c r="F89" s="6">
        <v>741722</v>
      </c>
      <c r="G89">
        <v>3</v>
      </c>
      <c r="H89" s="6">
        <v>2225166</v>
      </c>
      <c r="I89" t="s">
        <v>633</v>
      </c>
      <c r="J89" t="s">
        <v>3</v>
      </c>
      <c r="K89" t="s">
        <v>581</v>
      </c>
      <c r="L89" t="str">
        <f>IF(Base_ventas[[#This Row],[Método_pago]]="Efectivo","Efectivo","Electrónico")</f>
        <v>Electrónico</v>
      </c>
      <c r="M89" t="str">
        <f t="shared" si="1"/>
        <v>Best seller</v>
      </c>
      <c r="N89" s="22"/>
      <c r="O89" s="22"/>
      <c r="P89" s="22"/>
    </row>
    <row r="90" spans="1:16" x14ac:dyDescent="0.35">
      <c r="A90">
        <v>5760</v>
      </c>
      <c r="B90" t="s">
        <v>330</v>
      </c>
      <c r="C90" s="1">
        <v>45360</v>
      </c>
      <c r="D90" t="s">
        <v>28</v>
      </c>
      <c r="E90" t="s">
        <v>1</v>
      </c>
      <c r="F90" s="6">
        <v>177881</v>
      </c>
      <c r="G90">
        <v>2</v>
      </c>
      <c r="H90" s="6">
        <v>355762</v>
      </c>
      <c r="I90" t="s">
        <v>634</v>
      </c>
      <c r="J90" t="s">
        <v>1608</v>
      </c>
      <c r="K90" t="s">
        <v>581</v>
      </c>
      <c r="L90" t="str">
        <f>IF(Base_ventas[[#This Row],[Método_pago]]="Efectivo","Efectivo","Electrónico")</f>
        <v>Electrónico</v>
      </c>
      <c r="M90" t="str">
        <f t="shared" si="1"/>
        <v>Venta promedio</v>
      </c>
      <c r="N90" s="22"/>
      <c r="O90" s="22"/>
      <c r="P90" s="22"/>
    </row>
    <row r="91" spans="1:16" x14ac:dyDescent="0.35">
      <c r="A91">
        <v>2123</v>
      </c>
      <c r="B91" t="s">
        <v>331</v>
      </c>
      <c r="C91" s="1">
        <v>45361</v>
      </c>
      <c r="D91" t="s">
        <v>30</v>
      </c>
      <c r="E91" t="s">
        <v>1</v>
      </c>
      <c r="F91" s="6">
        <v>114971</v>
      </c>
      <c r="G91">
        <v>2</v>
      </c>
      <c r="H91" s="6">
        <v>229942</v>
      </c>
      <c r="I91" t="s">
        <v>635</v>
      </c>
      <c r="J91" t="s">
        <v>4</v>
      </c>
      <c r="K91" t="s">
        <v>533</v>
      </c>
      <c r="L91" t="str">
        <f>IF(Base_ventas[[#This Row],[Método_pago]]="Efectivo","Efectivo","Electrónico")</f>
        <v>Electrónico</v>
      </c>
      <c r="M91" t="str">
        <f t="shared" si="1"/>
        <v>Venta promedio</v>
      </c>
      <c r="N91" s="22"/>
      <c r="O91" s="22"/>
      <c r="P91" s="22"/>
    </row>
    <row r="92" spans="1:16" x14ac:dyDescent="0.35">
      <c r="A92">
        <v>3135</v>
      </c>
      <c r="B92" t="s">
        <v>107</v>
      </c>
      <c r="C92" s="1">
        <v>45362</v>
      </c>
      <c r="D92" t="s">
        <v>30</v>
      </c>
      <c r="E92" t="s">
        <v>1</v>
      </c>
      <c r="F92" s="6">
        <v>114971</v>
      </c>
      <c r="G92">
        <v>2</v>
      </c>
      <c r="H92" s="6">
        <v>229942</v>
      </c>
      <c r="I92" t="s">
        <v>636</v>
      </c>
      <c r="J92" t="s">
        <v>3</v>
      </c>
      <c r="K92" t="s">
        <v>602</v>
      </c>
      <c r="L92" t="str">
        <f>IF(Base_ventas[[#This Row],[Método_pago]]="Efectivo","Efectivo","Electrónico")</f>
        <v>Electrónico</v>
      </c>
      <c r="M92" t="str">
        <f t="shared" si="1"/>
        <v>Venta promedio</v>
      </c>
      <c r="N92" s="22"/>
      <c r="O92" s="22"/>
      <c r="P92" s="22"/>
    </row>
    <row r="93" spans="1:16" x14ac:dyDescent="0.35">
      <c r="A93">
        <v>2125</v>
      </c>
      <c r="B93" t="s">
        <v>332</v>
      </c>
      <c r="C93" s="1">
        <v>45363</v>
      </c>
      <c r="D93" t="s">
        <v>30</v>
      </c>
      <c r="E93" t="s">
        <v>1</v>
      </c>
      <c r="F93" s="6">
        <v>114971</v>
      </c>
      <c r="G93">
        <v>2</v>
      </c>
      <c r="H93" s="6">
        <v>229942</v>
      </c>
      <c r="I93" t="s">
        <v>637</v>
      </c>
      <c r="J93" t="s">
        <v>4</v>
      </c>
      <c r="K93" t="s">
        <v>547</v>
      </c>
      <c r="L93" t="str">
        <f>IF(Base_ventas[[#This Row],[Método_pago]]="Efectivo","Efectivo","Electrónico")</f>
        <v>Electrónico</v>
      </c>
      <c r="M93" t="str">
        <f t="shared" si="1"/>
        <v>Venta promedio</v>
      </c>
      <c r="N93" s="22"/>
      <c r="O93" s="22"/>
      <c r="P93" s="22"/>
    </row>
    <row r="94" spans="1:16" x14ac:dyDescent="0.35">
      <c r="A94">
        <v>3383</v>
      </c>
      <c r="B94" t="s">
        <v>333</v>
      </c>
      <c r="C94" s="1">
        <v>45363</v>
      </c>
      <c r="D94" t="s">
        <v>26</v>
      </c>
      <c r="E94" t="s">
        <v>25</v>
      </c>
      <c r="F94" s="6">
        <v>1844533</v>
      </c>
      <c r="G94">
        <v>1</v>
      </c>
      <c r="H94" s="6">
        <v>1844533</v>
      </c>
      <c r="I94" t="s">
        <v>638</v>
      </c>
      <c r="J94" t="s">
        <v>1608</v>
      </c>
      <c r="K94" t="s">
        <v>543</v>
      </c>
      <c r="L94" t="str">
        <f>IF(Base_ventas[[#This Row],[Método_pago]]="Efectivo","Efectivo","Electrónico")</f>
        <v>Electrónico</v>
      </c>
      <c r="M94" t="str">
        <f t="shared" si="1"/>
        <v>Venta promedio</v>
      </c>
      <c r="N94" s="22"/>
      <c r="O94" s="22"/>
      <c r="P94" s="22"/>
    </row>
    <row r="95" spans="1:16" x14ac:dyDescent="0.35">
      <c r="A95">
        <v>7161</v>
      </c>
      <c r="B95" t="s">
        <v>165</v>
      </c>
      <c r="C95" s="1">
        <v>45363</v>
      </c>
      <c r="D95" t="s">
        <v>22</v>
      </c>
      <c r="E95" t="s">
        <v>23</v>
      </c>
      <c r="F95" s="6">
        <v>741722</v>
      </c>
      <c r="G95">
        <v>3</v>
      </c>
      <c r="H95" s="6">
        <v>2225166</v>
      </c>
      <c r="I95" t="s">
        <v>639</v>
      </c>
      <c r="J95" t="s">
        <v>1608</v>
      </c>
      <c r="K95" t="s">
        <v>541</v>
      </c>
      <c r="L95" t="str">
        <f>IF(Base_ventas[[#This Row],[Método_pago]]="Efectivo","Efectivo","Electrónico")</f>
        <v>Electrónico</v>
      </c>
      <c r="M95" t="str">
        <f t="shared" si="1"/>
        <v>Best seller</v>
      </c>
      <c r="N95" s="22"/>
      <c r="O95" s="22"/>
      <c r="P95" s="22"/>
    </row>
    <row r="96" spans="1:16" x14ac:dyDescent="0.35">
      <c r="A96">
        <v>8439</v>
      </c>
      <c r="B96" t="s">
        <v>334</v>
      </c>
      <c r="C96" s="1">
        <v>45365</v>
      </c>
      <c r="D96" t="s">
        <v>26</v>
      </c>
      <c r="E96" t="s">
        <v>25</v>
      </c>
      <c r="F96" s="6">
        <v>1844533</v>
      </c>
      <c r="G96">
        <v>1</v>
      </c>
      <c r="H96" s="6">
        <v>1844533</v>
      </c>
      <c r="I96" t="s">
        <v>640</v>
      </c>
      <c r="J96" t="s">
        <v>3</v>
      </c>
      <c r="K96" t="s">
        <v>602</v>
      </c>
      <c r="L96" t="str">
        <f>IF(Base_ventas[[#This Row],[Método_pago]]="Efectivo","Efectivo","Electrónico")</f>
        <v>Electrónico</v>
      </c>
      <c r="M96" t="str">
        <f t="shared" si="1"/>
        <v>Venta promedio</v>
      </c>
      <c r="N96" s="22"/>
      <c r="O96" s="22"/>
      <c r="P96" s="22"/>
    </row>
    <row r="97" spans="1:16" x14ac:dyDescent="0.35">
      <c r="A97">
        <v>6147</v>
      </c>
      <c r="B97" t="s">
        <v>46</v>
      </c>
      <c r="C97" s="1">
        <v>45366</v>
      </c>
      <c r="D97" t="s">
        <v>28</v>
      </c>
      <c r="E97" t="s">
        <v>1</v>
      </c>
      <c r="F97" s="6">
        <v>177881</v>
      </c>
      <c r="G97">
        <v>2</v>
      </c>
      <c r="H97" s="6">
        <v>355762</v>
      </c>
      <c r="I97" t="s">
        <v>641</v>
      </c>
      <c r="J97" t="s">
        <v>3</v>
      </c>
      <c r="K97" t="s">
        <v>577</v>
      </c>
      <c r="L97" t="str">
        <f>IF(Base_ventas[[#This Row],[Método_pago]]="Efectivo","Efectivo","Electrónico")</f>
        <v>Electrónico</v>
      </c>
      <c r="M97" t="str">
        <f t="shared" si="1"/>
        <v>Venta promedio</v>
      </c>
      <c r="N97" s="22"/>
      <c r="O97" s="22"/>
      <c r="P97" s="22"/>
    </row>
    <row r="98" spans="1:16" x14ac:dyDescent="0.35">
      <c r="A98">
        <v>6166</v>
      </c>
      <c r="B98" t="s">
        <v>111</v>
      </c>
      <c r="C98" s="1">
        <v>45366</v>
      </c>
      <c r="D98" t="s">
        <v>24</v>
      </c>
      <c r="E98" t="s">
        <v>25</v>
      </c>
      <c r="F98" s="6">
        <v>707995</v>
      </c>
      <c r="G98">
        <v>3</v>
      </c>
      <c r="H98" s="6">
        <v>2123985</v>
      </c>
      <c r="I98" t="s">
        <v>642</v>
      </c>
      <c r="J98" t="s">
        <v>1608</v>
      </c>
      <c r="K98" t="s">
        <v>579</v>
      </c>
      <c r="L98" t="str">
        <f>IF(Base_ventas[[#This Row],[Método_pago]]="Efectivo","Efectivo","Electrónico")</f>
        <v>Electrónico</v>
      </c>
      <c r="M98" t="str">
        <f t="shared" si="1"/>
        <v>Best seller</v>
      </c>
      <c r="N98" s="22"/>
      <c r="O98" s="22"/>
      <c r="P98" s="22"/>
    </row>
    <row r="99" spans="1:16" x14ac:dyDescent="0.35">
      <c r="A99">
        <v>8379</v>
      </c>
      <c r="B99" t="s">
        <v>150</v>
      </c>
      <c r="C99" s="1">
        <v>45367</v>
      </c>
      <c r="D99" t="s">
        <v>30</v>
      </c>
      <c r="E99" t="s">
        <v>1</v>
      </c>
      <c r="F99" s="6">
        <v>114971</v>
      </c>
      <c r="G99">
        <v>1</v>
      </c>
      <c r="H99" s="6">
        <v>114971</v>
      </c>
      <c r="I99" t="s">
        <v>643</v>
      </c>
      <c r="J99" t="s">
        <v>4</v>
      </c>
      <c r="K99" t="s">
        <v>537</v>
      </c>
      <c r="L99" t="str">
        <f>IF(Base_ventas[[#This Row],[Método_pago]]="Efectivo","Efectivo","Electrónico")</f>
        <v>Electrónico</v>
      </c>
      <c r="M99" t="str">
        <f t="shared" si="1"/>
        <v>Venta promedio</v>
      </c>
      <c r="N99" s="22"/>
      <c r="O99" s="22"/>
      <c r="P99" s="22"/>
    </row>
    <row r="100" spans="1:16" x14ac:dyDescent="0.35">
      <c r="A100">
        <v>9156</v>
      </c>
      <c r="B100" t="s">
        <v>144</v>
      </c>
      <c r="C100" s="1">
        <v>45367</v>
      </c>
      <c r="D100" t="s">
        <v>26</v>
      </c>
      <c r="E100" t="s">
        <v>25</v>
      </c>
      <c r="F100" s="6">
        <v>1844533</v>
      </c>
      <c r="G100">
        <v>1</v>
      </c>
      <c r="H100" s="6">
        <v>1844533</v>
      </c>
      <c r="I100" t="s">
        <v>644</v>
      </c>
      <c r="J100" t="s">
        <v>3</v>
      </c>
      <c r="K100" t="s">
        <v>533</v>
      </c>
      <c r="L100" t="str">
        <f>IF(Base_ventas[[#This Row],[Método_pago]]="Efectivo","Efectivo","Electrónico")</f>
        <v>Electrónico</v>
      </c>
      <c r="M100" t="str">
        <f t="shared" si="1"/>
        <v>Venta promedio</v>
      </c>
      <c r="N100" s="22"/>
      <c r="O100" s="22"/>
      <c r="P100" s="22"/>
    </row>
    <row r="101" spans="1:16" x14ac:dyDescent="0.35">
      <c r="A101">
        <v>4412</v>
      </c>
      <c r="B101" t="s">
        <v>335</v>
      </c>
      <c r="C101" s="1">
        <v>45370</v>
      </c>
      <c r="D101" t="s">
        <v>24</v>
      </c>
      <c r="E101" t="s">
        <v>25</v>
      </c>
      <c r="F101" s="6">
        <v>707995</v>
      </c>
      <c r="G101">
        <v>1</v>
      </c>
      <c r="H101" s="6">
        <v>707995</v>
      </c>
      <c r="I101" t="s">
        <v>645</v>
      </c>
      <c r="J101" t="s">
        <v>1608</v>
      </c>
      <c r="K101" t="s">
        <v>622</v>
      </c>
      <c r="L101" t="str">
        <f>IF(Base_ventas[[#This Row],[Método_pago]]="Efectivo","Efectivo","Electrónico")</f>
        <v>Electrónico</v>
      </c>
      <c r="M101" t="str">
        <f t="shared" si="1"/>
        <v>Venta promedio</v>
      </c>
      <c r="N101" s="22"/>
      <c r="O101" s="22"/>
      <c r="P101" s="22"/>
    </row>
    <row r="102" spans="1:16" x14ac:dyDescent="0.35">
      <c r="A102">
        <v>7492</v>
      </c>
      <c r="B102" t="s">
        <v>336</v>
      </c>
      <c r="C102" s="1">
        <v>45371</v>
      </c>
      <c r="D102" t="s">
        <v>28</v>
      </c>
      <c r="E102" t="s">
        <v>1</v>
      </c>
      <c r="F102" s="6">
        <v>177881</v>
      </c>
      <c r="G102">
        <v>2</v>
      </c>
      <c r="H102" s="6">
        <v>355762</v>
      </c>
      <c r="I102" t="s">
        <v>646</v>
      </c>
      <c r="J102" t="s">
        <v>2</v>
      </c>
      <c r="K102" t="s">
        <v>602</v>
      </c>
      <c r="L102" t="str">
        <f>IF(Base_ventas[[#This Row],[Método_pago]]="Efectivo","Efectivo","Electrónico")</f>
        <v>Efectivo</v>
      </c>
      <c r="M102" t="str">
        <f t="shared" si="1"/>
        <v>Venta promedio</v>
      </c>
      <c r="N102" s="22"/>
      <c r="O102" s="22"/>
      <c r="P102" s="22"/>
    </row>
    <row r="103" spans="1:16" x14ac:dyDescent="0.35">
      <c r="A103">
        <v>1196</v>
      </c>
      <c r="B103" t="s">
        <v>337</v>
      </c>
      <c r="C103" s="1">
        <v>45371</v>
      </c>
      <c r="D103" t="s">
        <v>30</v>
      </c>
      <c r="E103" t="s">
        <v>1</v>
      </c>
      <c r="F103" s="6">
        <v>114971</v>
      </c>
      <c r="G103">
        <v>1</v>
      </c>
      <c r="H103" s="6">
        <v>114971</v>
      </c>
      <c r="I103" t="s">
        <v>647</v>
      </c>
      <c r="J103" t="s">
        <v>4</v>
      </c>
      <c r="K103" t="s">
        <v>541</v>
      </c>
      <c r="L103" t="str">
        <f>IF(Base_ventas[[#This Row],[Método_pago]]="Efectivo","Efectivo","Electrónico")</f>
        <v>Electrónico</v>
      </c>
      <c r="M103" t="str">
        <f t="shared" si="1"/>
        <v>Venta promedio</v>
      </c>
      <c r="N103" s="22"/>
      <c r="O103" s="22"/>
      <c r="P103" s="22"/>
    </row>
    <row r="104" spans="1:16" x14ac:dyDescent="0.35">
      <c r="A104">
        <v>9476</v>
      </c>
      <c r="B104" t="s">
        <v>338</v>
      </c>
      <c r="C104" s="1">
        <v>45373</v>
      </c>
      <c r="D104" t="s">
        <v>26</v>
      </c>
      <c r="E104" t="s">
        <v>25</v>
      </c>
      <c r="F104" s="6">
        <v>1844533</v>
      </c>
      <c r="G104">
        <v>2</v>
      </c>
      <c r="H104" s="6">
        <v>3689066</v>
      </c>
      <c r="I104" t="s">
        <v>648</v>
      </c>
      <c r="J104" t="s">
        <v>3</v>
      </c>
      <c r="K104" t="s">
        <v>602</v>
      </c>
      <c r="L104" t="str">
        <f>IF(Base_ventas[[#This Row],[Método_pago]]="Efectivo","Efectivo","Electrónico")</f>
        <v>Electrónico</v>
      </c>
      <c r="M104" t="str">
        <f t="shared" si="1"/>
        <v>Venta promedio</v>
      </c>
      <c r="N104" s="22"/>
      <c r="O104" s="22"/>
      <c r="P104" s="22"/>
    </row>
    <row r="105" spans="1:16" x14ac:dyDescent="0.35">
      <c r="A105">
        <v>3919</v>
      </c>
      <c r="B105" t="s">
        <v>339</v>
      </c>
      <c r="C105" s="1">
        <v>45376</v>
      </c>
      <c r="D105" t="s">
        <v>22</v>
      </c>
      <c r="E105" t="s">
        <v>23</v>
      </c>
      <c r="F105" s="6">
        <v>741722</v>
      </c>
      <c r="G105">
        <v>1</v>
      </c>
      <c r="H105" s="6">
        <v>741722</v>
      </c>
      <c r="I105" t="s">
        <v>649</v>
      </c>
      <c r="J105" t="s">
        <v>1608</v>
      </c>
      <c r="K105" t="s">
        <v>579</v>
      </c>
      <c r="L105" t="str">
        <f>IF(Base_ventas[[#This Row],[Método_pago]]="Efectivo","Efectivo","Electrónico")</f>
        <v>Electrónico</v>
      </c>
      <c r="M105" t="str">
        <f t="shared" si="1"/>
        <v>Venta promedio</v>
      </c>
      <c r="N105" s="22"/>
      <c r="O105" s="22"/>
      <c r="P105" s="22"/>
    </row>
    <row r="106" spans="1:16" x14ac:dyDescent="0.35">
      <c r="A106">
        <v>3831</v>
      </c>
      <c r="B106" t="s">
        <v>123</v>
      </c>
      <c r="C106" s="1">
        <v>45376</v>
      </c>
      <c r="D106" t="s">
        <v>26</v>
      </c>
      <c r="E106" t="s">
        <v>25</v>
      </c>
      <c r="F106" s="6">
        <v>1844533</v>
      </c>
      <c r="G106">
        <v>3</v>
      </c>
      <c r="H106" s="6">
        <v>5533599</v>
      </c>
      <c r="I106" t="s">
        <v>650</v>
      </c>
      <c r="J106" t="s">
        <v>3</v>
      </c>
      <c r="K106" t="s">
        <v>543</v>
      </c>
      <c r="L106" t="str">
        <f>IF(Base_ventas[[#This Row],[Método_pago]]="Efectivo","Efectivo","Electrónico")</f>
        <v>Electrónico</v>
      </c>
      <c r="M106" t="str">
        <f t="shared" si="1"/>
        <v>Best seller</v>
      </c>
      <c r="N106" s="22"/>
      <c r="O106" s="22"/>
      <c r="P106" s="22"/>
    </row>
    <row r="107" spans="1:16" x14ac:dyDescent="0.35">
      <c r="A107">
        <v>5464</v>
      </c>
      <c r="B107" t="s">
        <v>152</v>
      </c>
      <c r="C107" s="1">
        <v>45376</v>
      </c>
      <c r="D107" t="s">
        <v>30</v>
      </c>
      <c r="E107" t="s">
        <v>1</v>
      </c>
      <c r="F107" s="6">
        <v>114971</v>
      </c>
      <c r="G107">
        <v>1</v>
      </c>
      <c r="H107" s="6">
        <v>114971</v>
      </c>
      <c r="I107" t="s">
        <v>651</v>
      </c>
      <c r="J107" t="s">
        <v>2</v>
      </c>
      <c r="K107" t="s">
        <v>545</v>
      </c>
      <c r="L107" t="str">
        <f>IF(Base_ventas[[#This Row],[Método_pago]]="Efectivo","Efectivo","Electrónico")</f>
        <v>Efectivo</v>
      </c>
      <c r="M107" t="str">
        <f t="shared" si="1"/>
        <v>Venta promedio</v>
      </c>
      <c r="N107" s="22"/>
      <c r="O107" s="22"/>
      <c r="P107" s="22"/>
    </row>
    <row r="108" spans="1:16" x14ac:dyDescent="0.35">
      <c r="A108">
        <v>5329</v>
      </c>
      <c r="B108" t="s">
        <v>176</v>
      </c>
      <c r="C108" s="1">
        <v>45377</v>
      </c>
      <c r="D108" t="s">
        <v>28</v>
      </c>
      <c r="E108" t="s">
        <v>1</v>
      </c>
      <c r="F108" s="6">
        <v>177881</v>
      </c>
      <c r="G108">
        <v>2</v>
      </c>
      <c r="H108" s="6">
        <v>355762</v>
      </c>
      <c r="I108" t="s">
        <v>652</v>
      </c>
      <c r="J108" t="s">
        <v>4</v>
      </c>
      <c r="K108" t="s">
        <v>571</v>
      </c>
      <c r="L108" t="str">
        <f>IF(Base_ventas[[#This Row],[Método_pago]]="Efectivo","Efectivo","Electrónico")</f>
        <v>Electrónico</v>
      </c>
      <c r="M108" t="str">
        <f t="shared" si="1"/>
        <v>Venta promedio</v>
      </c>
      <c r="N108" s="22"/>
      <c r="O108" s="22"/>
      <c r="P108" s="22"/>
    </row>
    <row r="109" spans="1:16" x14ac:dyDescent="0.35">
      <c r="A109">
        <v>8473</v>
      </c>
      <c r="B109" t="s">
        <v>340</v>
      </c>
      <c r="C109" s="1">
        <v>45377</v>
      </c>
      <c r="D109" t="s">
        <v>28</v>
      </c>
      <c r="E109" t="s">
        <v>1</v>
      </c>
      <c r="F109" s="6">
        <v>177881</v>
      </c>
      <c r="G109">
        <v>2</v>
      </c>
      <c r="H109" s="6">
        <v>355762</v>
      </c>
      <c r="I109" t="s">
        <v>653</v>
      </c>
      <c r="J109" t="s">
        <v>1608</v>
      </c>
      <c r="K109" t="s">
        <v>602</v>
      </c>
      <c r="L109" t="str">
        <f>IF(Base_ventas[[#This Row],[Método_pago]]="Efectivo","Efectivo","Electrónico")</f>
        <v>Electrónico</v>
      </c>
      <c r="M109" t="str">
        <f t="shared" si="1"/>
        <v>Venta promedio</v>
      </c>
      <c r="N109" s="22"/>
      <c r="O109" s="22"/>
      <c r="P109" s="22"/>
    </row>
    <row r="110" spans="1:16" x14ac:dyDescent="0.35">
      <c r="A110">
        <v>2293</v>
      </c>
      <c r="B110" t="s">
        <v>203</v>
      </c>
      <c r="C110" s="1">
        <v>45378</v>
      </c>
      <c r="D110" t="s">
        <v>24</v>
      </c>
      <c r="E110" t="s">
        <v>25</v>
      </c>
      <c r="F110" s="6">
        <v>707995</v>
      </c>
      <c r="G110">
        <v>2</v>
      </c>
      <c r="H110" s="6">
        <v>1415990</v>
      </c>
      <c r="I110" t="s">
        <v>654</v>
      </c>
      <c r="J110" t="s">
        <v>2</v>
      </c>
      <c r="K110" t="s">
        <v>537</v>
      </c>
      <c r="L110" t="str">
        <f>IF(Base_ventas[[#This Row],[Método_pago]]="Efectivo","Efectivo","Electrónico")</f>
        <v>Efectivo</v>
      </c>
      <c r="M110" t="str">
        <f t="shared" si="1"/>
        <v>Venta promedio</v>
      </c>
      <c r="N110" s="22"/>
      <c r="O110" s="22"/>
      <c r="P110" s="22"/>
    </row>
    <row r="111" spans="1:16" x14ac:dyDescent="0.35">
      <c r="A111">
        <v>4893</v>
      </c>
      <c r="B111" t="s">
        <v>251</v>
      </c>
      <c r="C111" s="1">
        <v>45378</v>
      </c>
      <c r="D111" t="s">
        <v>22</v>
      </c>
      <c r="E111" t="s">
        <v>23</v>
      </c>
      <c r="F111" s="6">
        <v>741722</v>
      </c>
      <c r="G111">
        <v>2</v>
      </c>
      <c r="H111" s="6">
        <v>1483444</v>
      </c>
      <c r="I111" t="s">
        <v>655</v>
      </c>
      <c r="J111" t="s">
        <v>2</v>
      </c>
      <c r="K111" t="s">
        <v>622</v>
      </c>
      <c r="L111" t="str">
        <f>IF(Base_ventas[[#This Row],[Método_pago]]="Efectivo","Efectivo","Electrónico")</f>
        <v>Efectivo</v>
      </c>
      <c r="M111" t="str">
        <f t="shared" si="1"/>
        <v>Venta promedio</v>
      </c>
      <c r="N111" s="22"/>
      <c r="O111" s="22"/>
      <c r="P111" s="22"/>
    </row>
    <row r="112" spans="1:16" x14ac:dyDescent="0.35">
      <c r="A112">
        <v>1376</v>
      </c>
      <c r="B112" t="s">
        <v>42</v>
      </c>
      <c r="C112" s="1">
        <v>45378</v>
      </c>
      <c r="D112" t="s">
        <v>26</v>
      </c>
      <c r="E112" t="s">
        <v>25</v>
      </c>
      <c r="F112" s="6">
        <v>1844533</v>
      </c>
      <c r="G112">
        <v>3</v>
      </c>
      <c r="H112" s="6">
        <v>5533599</v>
      </c>
      <c r="I112" t="s">
        <v>656</v>
      </c>
      <c r="J112" t="s">
        <v>4</v>
      </c>
      <c r="K112" t="s">
        <v>577</v>
      </c>
      <c r="L112" t="str">
        <f>IF(Base_ventas[[#This Row],[Método_pago]]="Efectivo","Efectivo","Electrónico")</f>
        <v>Electrónico</v>
      </c>
      <c r="M112" t="str">
        <f t="shared" si="1"/>
        <v>Best seller</v>
      </c>
      <c r="N112" s="22"/>
      <c r="O112" s="22"/>
      <c r="P112" s="22"/>
    </row>
    <row r="113" spans="1:16" x14ac:dyDescent="0.35">
      <c r="A113">
        <v>2541</v>
      </c>
      <c r="B113" t="s">
        <v>341</v>
      </c>
      <c r="C113" s="1">
        <v>45380</v>
      </c>
      <c r="D113" t="s">
        <v>26</v>
      </c>
      <c r="E113" t="s">
        <v>25</v>
      </c>
      <c r="F113" s="6">
        <v>1844533</v>
      </c>
      <c r="G113">
        <v>2</v>
      </c>
      <c r="H113" s="6">
        <v>3689066</v>
      </c>
      <c r="I113" t="s">
        <v>657</v>
      </c>
      <c r="J113" t="s">
        <v>3</v>
      </c>
      <c r="K113" t="s">
        <v>581</v>
      </c>
      <c r="L113" t="str">
        <f>IF(Base_ventas[[#This Row],[Método_pago]]="Efectivo","Efectivo","Electrónico")</f>
        <v>Electrónico</v>
      </c>
      <c r="M113" t="str">
        <f t="shared" si="1"/>
        <v>Venta promedio</v>
      </c>
      <c r="N113" s="22"/>
      <c r="O113" s="22"/>
      <c r="P113" s="22"/>
    </row>
    <row r="114" spans="1:16" x14ac:dyDescent="0.35">
      <c r="A114">
        <v>8262</v>
      </c>
      <c r="B114" t="s">
        <v>342</v>
      </c>
      <c r="C114" s="1">
        <v>45380</v>
      </c>
      <c r="D114" t="s">
        <v>26</v>
      </c>
      <c r="E114" t="s">
        <v>25</v>
      </c>
      <c r="F114" s="6">
        <v>1844533</v>
      </c>
      <c r="G114">
        <v>2</v>
      </c>
      <c r="H114" s="6">
        <v>3689066</v>
      </c>
      <c r="I114" t="s">
        <v>658</v>
      </c>
      <c r="J114" t="s">
        <v>3</v>
      </c>
      <c r="K114" t="s">
        <v>622</v>
      </c>
      <c r="L114" t="str">
        <f>IF(Base_ventas[[#This Row],[Método_pago]]="Efectivo","Efectivo","Electrónico")</f>
        <v>Electrónico</v>
      </c>
      <c r="M114" t="str">
        <f t="shared" si="1"/>
        <v>Venta promedio</v>
      </c>
      <c r="N114" s="22"/>
      <c r="O114" s="22"/>
      <c r="P114" s="22"/>
    </row>
    <row r="115" spans="1:16" x14ac:dyDescent="0.35">
      <c r="A115">
        <v>1790</v>
      </c>
      <c r="B115" t="s">
        <v>60</v>
      </c>
      <c r="C115" s="1">
        <v>45380</v>
      </c>
      <c r="D115" t="s">
        <v>26</v>
      </c>
      <c r="E115" t="s">
        <v>25</v>
      </c>
      <c r="F115" s="6">
        <v>1844533</v>
      </c>
      <c r="G115">
        <v>1</v>
      </c>
      <c r="H115" s="6">
        <v>1844533</v>
      </c>
      <c r="I115" t="s">
        <v>659</v>
      </c>
      <c r="J115" t="s">
        <v>2</v>
      </c>
      <c r="K115" t="s">
        <v>539</v>
      </c>
      <c r="L115" t="str">
        <f>IF(Base_ventas[[#This Row],[Método_pago]]="Efectivo","Efectivo","Electrónico")</f>
        <v>Efectivo</v>
      </c>
      <c r="M115" t="str">
        <f t="shared" si="1"/>
        <v>Venta promedio</v>
      </c>
      <c r="N115" s="22"/>
      <c r="O115" s="22"/>
      <c r="P115" s="22"/>
    </row>
    <row r="116" spans="1:16" x14ac:dyDescent="0.35">
      <c r="A116">
        <v>4347</v>
      </c>
      <c r="B116" t="s">
        <v>279</v>
      </c>
      <c r="C116" s="1">
        <v>45382</v>
      </c>
      <c r="D116" t="s">
        <v>24</v>
      </c>
      <c r="E116" t="s">
        <v>25</v>
      </c>
      <c r="F116" s="6">
        <v>707995</v>
      </c>
      <c r="G116">
        <v>1</v>
      </c>
      <c r="H116" s="6">
        <v>707995</v>
      </c>
      <c r="I116" t="s">
        <v>660</v>
      </c>
      <c r="J116" t="s">
        <v>4</v>
      </c>
      <c r="K116" t="s">
        <v>545</v>
      </c>
      <c r="L116" t="str">
        <f>IF(Base_ventas[[#This Row],[Método_pago]]="Efectivo","Efectivo","Electrónico")</f>
        <v>Electrónico</v>
      </c>
      <c r="M116" t="str">
        <f t="shared" si="1"/>
        <v>Venta promedio</v>
      </c>
      <c r="N116" s="22"/>
      <c r="O116" s="22"/>
      <c r="P116" s="22"/>
    </row>
    <row r="117" spans="1:16" x14ac:dyDescent="0.35">
      <c r="A117">
        <v>2761</v>
      </c>
      <c r="B117" t="s">
        <v>228</v>
      </c>
      <c r="C117" s="1">
        <v>45383</v>
      </c>
      <c r="D117" t="s">
        <v>22</v>
      </c>
      <c r="E117" t="s">
        <v>23</v>
      </c>
      <c r="F117" s="6">
        <v>741722</v>
      </c>
      <c r="G117">
        <v>1</v>
      </c>
      <c r="H117" s="6">
        <v>741722</v>
      </c>
      <c r="I117" t="s">
        <v>661</v>
      </c>
      <c r="J117" t="s">
        <v>3</v>
      </c>
      <c r="K117" t="s">
        <v>533</v>
      </c>
      <c r="L117" t="str">
        <f>IF(Base_ventas[[#This Row],[Método_pago]]="Efectivo","Efectivo","Electrónico")</f>
        <v>Electrónico</v>
      </c>
      <c r="M117" t="str">
        <f t="shared" si="1"/>
        <v>Venta promedio</v>
      </c>
      <c r="N117" s="22"/>
      <c r="O117" s="22"/>
      <c r="P117" s="22"/>
    </row>
    <row r="118" spans="1:16" x14ac:dyDescent="0.35">
      <c r="A118">
        <v>4651</v>
      </c>
      <c r="B118" t="s">
        <v>343</v>
      </c>
      <c r="C118" s="1">
        <v>45386</v>
      </c>
      <c r="D118" t="s">
        <v>28</v>
      </c>
      <c r="E118" t="s">
        <v>1</v>
      </c>
      <c r="F118" s="6">
        <v>177881</v>
      </c>
      <c r="G118">
        <v>2</v>
      </c>
      <c r="H118" s="6">
        <v>355762</v>
      </c>
      <c r="I118" t="s">
        <v>662</v>
      </c>
      <c r="J118" t="s">
        <v>4</v>
      </c>
      <c r="K118" t="s">
        <v>543</v>
      </c>
      <c r="L118" t="str">
        <f>IF(Base_ventas[[#This Row],[Método_pago]]="Efectivo","Efectivo","Electrónico")</f>
        <v>Electrónico</v>
      </c>
      <c r="M118" t="str">
        <f t="shared" si="1"/>
        <v>Venta promedio</v>
      </c>
      <c r="N118" s="22"/>
      <c r="O118" s="22"/>
      <c r="P118" s="22"/>
    </row>
    <row r="119" spans="1:16" x14ac:dyDescent="0.35">
      <c r="A119">
        <v>5274</v>
      </c>
      <c r="B119" t="s">
        <v>344</v>
      </c>
      <c r="C119" s="1">
        <v>45387</v>
      </c>
      <c r="D119" t="s">
        <v>28</v>
      </c>
      <c r="E119" t="s">
        <v>1</v>
      </c>
      <c r="F119" s="6">
        <v>177881</v>
      </c>
      <c r="G119">
        <v>1</v>
      </c>
      <c r="H119" s="6">
        <v>177881</v>
      </c>
      <c r="I119" t="s">
        <v>663</v>
      </c>
      <c r="J119" t="s">
        <v>3</v>
      </c>
      <c r="K119" t="s">
        <v>577</v>
      </c>
      <c r="L119" t="str">
        <f>IF(Base_ventas[[#This Row],[Método_pago]]="Efectivo","Efectivo","Electrónico")</f>
        <v>Electrónico</v>
      </c>
      <c r="M119" t="str">
        <f t="shared" si="1"/>
        <v>Venta promedio</v>
      </c>
      <c r="N119" s="22"/>
      <c r="O119" s="22"/>
      <c r="P119" s="22"/>
    </row>
    <row r="120" spans="1:16" x14ac:dyDescent="0.35">
      <c r="A120">
        <v>8131</v>
      </c>
      <c r="B120" t="s">
        <v>345</v>
      </c>
      <c r="C120" s="1">
        <v>45387</v>
      </c>
      <c r="D120" t="s">
        <v>28</v>
      </c>
      <c r="E120" t="s">
        <v>1</v>
      </c>
      <c r="F120" s="6">
        <v>177881</v>
      </c>
      <c r="G120">
        <v>2</v>
      </c>
      <c r="H120" s="6">
        <v>355762</v>
      </c>
      <c r="I120" t="s">
        <v>664</v>
      </c>
      <c r="J120" t="s">
        <v>1608</v>
      </c>
      <c r="K120" t="s">
        <v>543</v>
      </c>
      <c r="L120" t="str">
        <f>IF(Base_ventas[[#This Row],[Método_pago]]="Efectivo","Efectivo","Electrónico")</f>
        <v>Electrónico</v>
      </c>
      <c r="M120" t="str">
        <f t="shared" si="1"/>
        <v>Venta promedio</v>
      </c>
      <c r="N120" s="22"/>
      <c r="O120" s="22"/>
      <c r="P120" s="22"/>
    </row>
    <row r="121" spans="1:16" x14ac:dyDescent="0.35">
      <c r="A121">
        <v>8632</v>
      </c>
      <c r="B121" t="s">
        <v>95</v>
      </c>
      <c r="C121" s="1">
        <v>45387</v>
      </c>
      <c r="D121" t="s">
        <v>22</v>
      </c>
      <c r="E121" t="s">
        <v>23</v>
      </c>
      <c r="F121" s="6">
        <v>741722</v>
      </c>
      <c r="G121">
        <v>3</v>
      </c>
      <c r="H121" s="6">
        <v>2225166</v>
      </c>
      <c r="I121" t="s">
        <v>665</v>
      </c>
      <c r="J121" t="s">
        <v>4</v>
      </c>
      <c r="K121" t="s">
        <v>535</v>
      </c>
      <c r="L121" t="str">
        <f>IF(Base_ventas[[#This Row],[Método_pago]]="Efectivo","Efectivo","Electrónico")</f>
        <v>Electrónico</v>
      </c>
      <c r="M121" t="str">
        <f t="shared" si="1"/>
        <v>Best seller</v>
      </c>
      <c r="N121" s="22"/>
      <c r="O121" s="22"/>
      <c r="P121" s="22"/>
    </row>
    <row r="122" spans="1:16" x14ac:dyDescent="0.35">
      <c r="A122">
        <v>3938</v>
      </c>
      <c r="B122" t="s">
        <v>346</v>
      </c>
      <c r="C122" s="1">
        <v>45388</v>
      </c>
      <c r="D122" t="s">
        <v>28</v>
      </c>
      <c r="E122" t="s">
        <v>1</v>
      </c>
      <c r="F122" s="6">
        <v>177881</v>
      </c>
      <c r="G122">
        <v>2</v>
      </c>
      <c r="H122" s="6">
        <v>355762</v>
      </c>
      <c r="I122" t="s">
        <v>666</v>
      </c>
      <c r="J122" t="s">
        <v>1608</v>
      </c>
      <c r="K122" t="s">
        <v>543</v>
      </c>
      <c r="L122" t="str">
        <f>IF(Base_ventas[[#This Row],[Método_pago]]="Efectivo","Efectivo","Electrónico")</f>
        <v>Electrónico</v>
      </c>
      <c r="M122" t="str">
        <f t="shared" si="1"/>
        <v>Venta promedio</v>
      </c>
      <c r="N122" s="22"/>
      <c r="O122" s="22"/>
      <c r="P122" s="22"/>
    </row>
    <row r="123" spans="1:16" x14ac:dyDescent="0.35">
      <c r="A123">
        <v>9221</v>
      </c>
      <c r="B123" t="s">
        <v>63</v>
      </c>
      <c r="C123" s="1">
        <v>45388</v>
      </c>
      <c r="D123" t="s">
        <v>24</v>
      </c>
      <c r="E123" t="s">
        <v>25</v>
      </c>
      <c r="F123" s="6">
        <v>707995</v>
      </c>
      <c r="G123">
        <v>1</v>
      </c>
      <c r="H123" s="6">
        <v>707995</v>
      </c>
      <c r="I123" t="s">
        <v>667</v>
      </c>
      <c r="J123" t="s">
        <v>2</v>
      </c>
      <c r="K123" t="s">
        <v>539</v>
      </c>
      <c r="L123" t="str">
        <f>IF(Base_ventas[[#This Row],[Método_pago]]="Efectivo","Efectivo","Electrónico")</f>
        <v>Efectivo</v>
      </c>
      <c r="M123" t="str">
        <f t="shared" si="1"/>
        <v>Venta promedio</v>
      </c>
      <c r="N123" s="22"/>
      <c r="O123" s="22"/>
      <c r="P123" s="22"/>
    </row>
    <row r="124" spans="1:16" x14ac:dyDescent="0.35">
      <c r="A124">
        <v>6773</v>
      </c>
      <c r="B124" t="s">
        <v>94</v>
      </c>
      <c r="C124" s="1">
        <v>45388</v>
      </c>
      <c r="D124" t="s">
        <v>30</v>
      </c>
      <c r="E124" t="s">
        <v>1</v>
      </c>
      <c r="F124" s="6">
        <v>114971</v>
      </c>
      <c r="G124">
        <v>3</v>
      </c>
      <c r="H124" s="6">
        <v>344913</v>
      </c>
      <c r="I124" t="s">
        <v>668</v>
      </c>
      <c r="J124" t="s">
        <v>2</v>
      </c>
      <c r="K124" t="s">
        <v>561</v>
      </c>
      <c r="L124" t="str">
        <f>IF(Base_ventas[[#This Row],[Método_pago]]="Efectivo","Efectivo","Electrónico")</f>
        <v>Efectivo</v>
      </c>
      <c r="M124" t="str">
        <f t="shared" si="1"/>
        <v>Venta promedio</v>
      </c>
      <c r="N124" s="22"/>
      <c r="O124" s="22"/>
      <c r="P124" s="22"/>
    </row>
    <row r="125" spans="1:16" x14ac:dyDescent="0.35">
      <c r="A125">
        <v>8283</v>
      </c>
      <c r="B125" t="s">
        <v>277</v>
      </c>
      <c r="C125" s="1">
        <v>45389</v>
      </c>
      <c r="D125" t="s">
        <v>30</v>
      </c>
      <c r="E125" t="s">
        <v>1</v>
      </c>
      <c r="F125" s="6">
        <v>114971</v>
      </c>
      <c r="G125">
        <v>2</v>
      </c>
      <c r="H125" s="6">
        <v>229942</v>
      </c>
      <c r="I125" t="s">
        <v>669</v>
      </c>
      <c r="J125" t="s">
        <v>2</v>
      </c>
      <c r="K125" t="s">
        <v>581</v>
      </c>
      <c r="L125" t="str">
        <f>IF(Base_ventas[[#This Row],[Método_pago]]="Efectivo","Efectivo","Electrónico")</f>
        <v>Efectivo</v>
      </c>
      <c r="M125" t="str">
        <f t="shared" si="1"/>
        <v>Venta promedio</v>
      </c>
      <c r="N125" s="22"/>
      <c r="O125" s="22"/>
      <c r="P125" s="22"/>
    </row>
    <row r="126" spans="1:16" x14ac:dyDescent="0.35">
      <c r="A126">
        <v>8999</v>
      </c>
      <c r="B126" t="s">
        <v>347</v>
      </c>
      <c r="C126" s="1">
        <v>45389</v>
      </c>
      <c r="D126" t="s">
        <v>26</v>
      </c>
      <c r="E126" t="s">
        <v>25</v>
      </c>
      <c r="F126" s="6">
        <v>1844533</v>
      </c>
      <c r="G126">
        <v>1</v>
      </c>
      <c r="H126" s="6">
        <v>1844533</v>
      </c>
      <c r="I126" t="s">
        <v>670</v>
      </c>
      <c r="J126" t="s">
        <v>2</v>
      </c>
      <c r="K126" t="s">
        <v>539</v>
      </c>
      <c r="L126" t="str">
        <f>IF(Base_ventas[[#This Row],[Método_pago]]="Efectivo","Efectivo","Electrónico")</f>
        <v>Efectivo</v>
      </c>
      <c r="M126" t="str">
        <f t="shared" si="1"/>
        <v>Venta promedio</v>
      </c>
      <c r="N126" s="22"/>
      <c r="O126" s="22"/>
      <c r="P126" s="22"/>
    </row>
    <row r="127" spans="1:16" x14ac:dyDescent="0.35">
      <c r="A127">
        <v>8577</v>
      </c>
      <c r="B127" t="s">
        <v>348</v>
      </c>
      <c r="C127" s="1">
        <v>45390</v>
      </c>
      <c r="D127" t="s">
        <v>28</v>
      </c>
      <c r="E127" t="s">
        <v>1</v>
      </c>
      <c r="F127" s="6">
        <v>177881</v>
      </c>
      <c r="G127">
        <v>2</v>
      </c>
      <c r="H127" s="6">
        <v>355762</v>
      </c>
      <c r="I127" t="s">
        <v>671</v>
      </c>
      <c r="J127" t="s">
        <v>1608</v>
      </c>
      <c r="K127" t="s">
        <v>579</v>
      </c>
      <c r="L127" t="str">
        <f>IF(Base_ventas[[#This Row],[Método_pago]]="Efectivo","Efectivo","Electrónico")</f>
        <v>Electrónico</v>
      </c>
      <c r="M127" t="str">
        <f t="shared" si="1"/>
        <v>Venta promedio</v>
      </c>
      <c r="N127" s="22"/>
      <c r="O127" s="22"/>
      <c r="P127" s="22"/>
    </row>
    <row r="128" spans="1:16" x14ac:dyDescent="0.35">
      <c r="A128">
        <v>3801</v>
      </c>
      <c r="B128" t="s">
        <v>349</v>
      </c>
      <c r="C128" s="1">
        <v>45392</v>
      </c>
      <c r="D128" t="s">
        <v>28</v>
      </c>
      <c r="E128" t="s">
        <v>1</v>
      </c>
      <c r="F128" s="6">
        <v>177881</v>
      </c>
      <c r="G128">
        <v>1</v>
      </c>
      <c r="H128" s="6">
        <v>177881</v>
      </c>
      <c r="I128" t="s">
        <v>672</v>
      </c>
      <c r="J128" t="s">
        <v>3</v>
      </c>
      <c r="K128" t="s">
        <v>561</v>
      </c>
      <c r="L128" t="str">
        <f>IF(Base_ventas[[#This Row],[Método_pago]]="Efectivo","Efectivo","Electrónico")</f>
        <v>Electrónico</v>
      </c>
      <c r="M128" t="str">
        <f t="shared" si="1"/>
        <v>Venta promedio</v>
      </c>
      <c r="N128" s="22"/>
      <c r="O128" s="22"/>
      <c r="P128" s="22"/>
    </row>
    <row r="129" spans="1:16" x14ac:dyDescent="0.35">
      <c r="A129">
        <v>7623</v>
      </c>
      <c r="B129" t="s">
        <v>350</v>
      </c>
      <c r="C129" s="1">
        <v>45393</v>
      </c>
      <c r="D129" t="s">
        <v>22</v>
      </c>
      <c r="E129" t="s">
        <v>23</v>
      </c>
      <c r="F129" s="6">
        <v>741722</v>
      </c>
      <c r="G129">
        <v>3</v>
      </c>
      <c r="H129" s="6">
        <v>2225166</v>
      </c>
      <c r="I129" t="s">
        <v>673</v>
      </c>
      <c r="J129" t="s">
        <v>1608</v>
      </c>
      <c r="K129" t="s">
        <v>579</v>
      </c>
      <c r="L129" t="str">
        <f>IF(Base_ventas[[#This Row],[Método_pago]]="Efectivo","Efectivo","Electrónico")</f>
        <v>Electrónico</v>
      </c>
      <c r="M129" t="str">
        <f t="shared" si="1"/>
        <v>Best seller</v>
      </c>
      <c r="N129" s="22"/>
      <c r="O129" s="22"/>
      <c r="P129" s="22"/>
    </row>
    <row r="130" spans="1:16" x14ac:dyDescent="0.35">
      <c r="A130">
        <v>9525</v>
      </c>
      <c r="B130" t="s">
        <v>53</v>
      </c>
      <c r="C130" s="1">
        <v>45393</v>
      </c>
      <c r="D130" t="s">
        <v>30</v>
      </c>
      <c r="E130" t="s">
        <v>1</v>
      </c>
      <c r="F130" s="6">
        <v>114971</v>
      </c>
      <c r="G130">
        <v>1</v>
      </c>
      <c r="H130" s="6">
        <v>114971</v>
      </c>
      <c r="I130" t="s">
        <v>674</v>
      </c>
      <c r="J130" t="s">
        <v>2</v>
      </c>
      <c r="K130" t="s">
        <v>537</v>
      </c>
      <c r="L130" t="str">
        <f>IF(Base_ventas[[#This Row],[Método_pago]]="Efectivo","Efectivo","Electrónico")</f>
        <v>Efectivo</v>
      </c>
      <c r="M130" t="str">
        <f t="shared" si="1"/>
        <v>Venta promedio</v>
      </c>
      <c r="N130" s="22"/>
      <c r="O130" s="22"/>
      <c r="P130" s="22"/>
    </row>
    <row r="131" spans="1:16" x14ac:dyDescent="0.35">
      <c r="A131">
        <v>7293</v>
      </c>
      <c r="B131" t="s">
        <v>351</v>
      </c>
      <c r="C131" s="1">
        <v>45393</v>
      </c>
      <c r="D131" t="s">
        <v>22</v>
      </c>
      <c r="E131" t="s">
        <v>23</v>
      </c>
      <c r="F131" s="6">
        <v>741722</v>
      </c>
      <c r="G131">
        <v>3</v>
      </c>
      <c r="H131" s="6">
        <v>2225166</v>
      </c>
      <c r="I131" t="s">
        <v>675</v>
      </c>
      <c r="J131" t="s">
        <v>2</v>
      </c>
      <c r="K131" t="s">
        <v>602</v>
      </c>
      <c r="L131" t="str">
        <f>IF(Base_ventas[[#This Row],[Método_pago]]="Efectivo","Efectivo","Electrónico")</f>
        <v>Efectivo</v>
      </c>
      <c r="M131" t="str">
        <f t="shared" si="1"/>
        <v>Best seller</v>
      </c>
      <c r="N131" s="22"/>
      <c r="O131" s="22"/>
      <c r="P131" s="22"/>
    </row>
    <row r="132" spans="1:16" x14ac:dyDescent="0.35">
      <c r="A132">
        <v>4416</v>
      </c>
      <c r="B132" t="s">
        <v>200</v>
      </c>
      <c r="C132" s="1">
        <v>45395</v>
      </c>
      <c r="D132" t="s">
        <v>28</v>
      </c>
      <c r="E132" t="s">
        <v>1</v>
      </c>
      <c r="F132" s="6">
        <v>177881</v>
      </c>
      <c r="G132">
        <v>2</v>
      </c>
      <c r="H132" s="6">
        <v>355762</v>
      </c>
      <c r="I132" t="s">
        <v>676</v>
      </c>
      <c r="J132" t="s">
        <v>2</v>
      </c>
      <c r="K132" t="s">
        <v>541</v>
      </c>
      <c r="L132" t="str">
        <f>IF(Base_ventas[[#This Row],[Método_pago]]="Efectivo","Efectivo","Electrónico")</f>
        <v>Efectivo</v>
      </c>
      <c r="M132" t="str">
        <f t="shared" ref="M132:M195" si="2">IF(AND(G132&gt;2,H132&gt;=1000000),"Best seller","Venta promedio")</f>
        <v>Venta promedio</v>
      </c>
      <c r="N132" s="22"/>
      <c r="O132" s="22"/>
      <c r="P132" s="22"/>
    </row>
    <row r="133" spans="1:16" x14ac:dyDescent="0.35">
      <c r="A133">
        <v>1375</v>
      </c>
      <c r="B133" t="s">
        <v>352</v>
      </c>
      <c r="C133" s="1">
        <v>45395</v>
      </c>
      <c r="D133" t="s">
        <v>30</v>
      </c>
      <c r="E133" t="s">
        <v>1</v>
      </c>
      <c r="F133" s="6">
        <v>114971</v>
      </c>
      <c r="G133">
        <v>2</v>
      </c>
      <c r="H133" s="6">
        <v>229942</v>
      </c>
      <c r="I133" t="s">
        <v>677</v>
      </c>
      <c r="J133" t="s">
        <v>3</v>
      </c>
      <c r="K133" t="s">
        <v>537</v>
      </c>
      <c r="L133" t="str">
        <f>IF(Base_ventas[[#This Row],[Método_pago]]="Efectivo","Efectivo","Electrónico")</f>
        <v>Electrónico</v>
      </c>
      <c r="M133" t="str">
        <f t="shared" si="2"/>
        <v>Venta promedio</v>
      </c>
      <c r="N133" s="22"/>
      <c r="O133" s="22"/>
      <c r="P133" s="22"/>
    </row>
    <row r="134" spans="1:16" x14ac:dyDescent="0.35">
      <c r="A134">
        <v>6702</v>
      </c>
      <c r="B134" t="s">
        <v>231</v>
      </c>
      <c r="C134" s="1">
        <v>45395</v>
      </c>
      <c r="D134" t="s">
        <v>24</v>
      </c>
      <c r="E134" t="s">
        <v>25</v>
      </c>
      <c r="F134" s="6">
        <v>707995</v>
      </c>
      <c r="G134">
        <v>3</v>
      </c>
      <c r="H134" s="6">
        <v>2123985</v>
      </c>
      <c r="I134" t="s">
        <v>678</v>
      </c>
      <c r="J134" t="s">
        <v>2</v>
      </c>
      <c r="K134" t="s">
        <v>571</v>
      </c>
      <c r="L134" t="str">
        <f>IF(Base_ventas[[#This Row],[Método_pago]]="Efectivo","Efectivo","Electrónico")</f>
        <v>Efectivo</v>
      </c>
      <c r="M134" t="str">
        <f t="shared" si="2"/>
        <v>Best seller</v>
      </c>
      <c r="N134" s="22"/>
      <c r="O134" s="22"/>
      <c r="P134" s="22"/>
    </row>
    <row r="135" spans="1:16" x14ac:dyDescent="0.35">
      <c r="A135">
        <v>3609</v>
      </c>
      <c r="B135" t="s">
        <v>113</v>
      </c>
      <c r="C135" s="1">
        <v>45396</v>
      </c>
      <c r="D135" t="s">
        <v>30</v>
      </c>
      <c r="E135" t="s">
        <v>1</v>
      </c>
      <c r="F135" s="6">
        <v>114971</v>
      </c>
      <c r="G135">
        <v>1</v>
      </c>
      <c r="H135" s="6">
        <v>114971</v>
      </c>
      <c r="I135" t="s">
        <v>679</v>
      </c>
      <c r="J135" t="s">
        <v>3</v>
      </c>
      <c r="K135" t="s">
        <v>541</v>
      </c>
      <c r="L135" t="str">
        <f>IF(Base_ventas[[#This Row],[Método_pago]]="Efectivo","Efectivo","Electrónico")</f>
        <v>Electrónico</v>
      </c>
      <c r="M135" t="str">
        <f t="shared" si="2"/>
        <v>Venta promedio</v>
      </c>
      <c r="N135" s="22"/>
      <c r="O135" s="22"/>
      <c r="P135" s="22"/>
    </row>
    <row r="136" spans="1:16" x14ac:dyDescent="0.35">
      <c r="A136">
        <v>2098</v>
      </c>
      <c r="B136" t="s">
        <v>108</v>
      </c>
      <c r="C136" s="1">
        <v>45397</v>
      </c>
      <c r="D136" t="s">
        <v>26</v>
      </c>
      <c r="E136" t="s">
        <v>25</v>
      </c>
      <c r="F136" s="6">
        <v>1844533</v>
      </c>
      <c r="G136">
        <v>1</v>
      </c>
      <c r="H136" s="6">
        <v>1844533</v>
      </c>
      <c r="I136" t="s">
        <v>680</v>
      </c>
      <c r="J136" t="s">
        <v>3</v>
      </c>
      <c r="K136" t="s">
        <v>561</v>
      </c>
      <c r="L136" t="str">
        <f>IF(Base_ventas[[#This Row],[Método_pago]]="Efectivo","Efectivo","Electrónico")</f>
        <v>Electrónico</v>
      </c>
      <c r="M136" t="str">
        <f t="shared" si="2"/>
        <v>Venta promedio</v>
      </c>
      <c r="N136" s="22"/>
      <c r="O136" s="22"/>
      <c r="P136" s="22"/>
    </row>
    <row r="137" spans="1:16" x14ac:dyDescent="0.35">
      <c r="A137">
        <v>6056</v>
      </c>
      <c r="B137" t="s">
        <v>353</v>
      </c>
      <c r="C137" s="1">
        <v>45397</v>
      </c>
      <c r="D137" t="s">
        <v>28</v>
      </c>
      <c r="E137" t="s">
        <v>1</v>
      </c>
      <c r="F137" s="6">
        <v>177881</v>
      </c>
      <c r="G137">
        <v>2</v>
      </c>
      <c r="H137" s="6">
        <v>355762</v>
      </c>
      <c r="I137" t="s">
        <v>681</v>
      </c>
      <c r="J137" t="s">
        <v>3</v>
      </c>
      <c r="K137" t="s">
        <v>581</v>
      </c>
      <c r="L137" t="str">
        <f>IF(Base_ventas[[#This Row],[Método_pago]]="Efectivo","Efectivo","Electrónico")</f>
        <v>Electrónico</v>
      </c>
      <c r="M137" t="str">
        <f t="shared" si="2"/>
        <v>Venta promedio</v>
      </c>
      <c r="N137" s="22"/>
      <c r="O137" s="22"/>
      <c r="P137" s="22"/>
    </row>
    <row r="138" spans="1:16" x14ac:dyDescent="0.35">
      <c r="A138">
        <v>6293</v>
      </c>
      <c r="B138" t="s">
        <v>220</v>
      </c>
      <c r="C138" s="1">
        <v>45397</v>
      </c>
      <c r="D138" t="s">
        <v>24</v>
      </c>
      <c r="E138" t="s">
        <v>25</v>
      </c>
      <c r="F138" s="6">
        <v>707995</v>
      </c>
      <c r="G138">
        <v>3</v>
      </c>
      <c r="H138" s="6">
        <v>2123985</v>
      </c>
      <c r="I138" t="s">
        <v>682</v>
      </c>
      <c r="J138" t="s">
        <v>3</v>
      </c>
      <c r="K138" t="s">
        <v>537</v>
      </c>
      <c r="L138" t="str">
        <f>IF(Base_ventas[[#This Row],[Método_pago]]="Efectivo","Efectivo","Electrónico")</f>
        <v>Electrónico</v>
      </c>
      <c r="M138" t="str">
        <f t="shared" si="2"/>
        <v>Best seller</v>
      </c>
      <c r="N138" s="22"/>
      <c r="O138" s="22"/>
      <c r="P138" s="22"/>
    </row>
    <row r="139" spans="1:16" x14ac:dyDescent="0.35">
      <c r="A139">
        <v>1089</v>
      </c>
      <c r="B139" t="s">
        <v>214</v>
      </c>
      <c r="C139" s="1">
        <v>45398</v>
      </c>
      <c r="D139" t="s">
        <v>28</v>
      </c>
      <c r="E139" t="s">
        <v>1</v>
      </c>
      <c r="F139" s="6">
        <v>177881</v>
      </c>
      <c r="G139">
        <v>2</v>
      </c>
      <c r="H139" s="6">
        <v>355762</v>
      </c>
      <c r="I139" t="s">
        <v>683</v>
      </c>
      <c r="J139" t="s">
        <v>3</v>
      </c>
      <c r="K139" t="s">
        <v>581</v>
      </c>
      <c r="L139" t="str">
        <f>IF(Base_ventas[[#This Row],[Método_pago]]="Efectivo","Efectivo","Electrónico")</f>
        <v>Electrónico</v>
      </c>
      <c r="M139" t="str">
        <f t="shared" si="2"/>
        <v>Venta promedio</v>
      </c>
      <c r="N139" s="22"/>
      <c r="O139" s="22"/>
      <c r="P139" s="22"/>
    </row>
    <row r="140" spans="1:16" x14ac:dyDescent="0.35">
      <c r="A140">
        <v>2435</v>
      </c>
      <c r="B140" t="s">
        <v>105</v>
      </c>
      <c r="C140" s="1">
        <v>45398</v>
      </c>
      <c r="D140" t="s">
        <v>28</v>
      </c>
      <c r="E140" t="s">
        <v>1</v>
      </c>
      <c r="F140" s="6">
        <v>177881</v>
      </c>
      <c r="G140">
        <v>3</v>
      </c>
      <c r="H140" s="6">
        <v>533643</v>
      </c>
      <c r="I140" t="s">
        <v>684</v>
      </c>
      <c r="J140" t="s">
        <v>2</v>
      </c>
      <c r="K140" t="s">
        <v>533</v>
      </c>
      <c r="L140" t="str">
        <f>IF(Base_ventas[[#This Row],[Método_pago]]="Efectivo","Efectivo","Electrónico")</f>
        <v>Efectivo</v>
      </c>
      <c r="M140" t="str">
        <f t="shared" si="2"/>
        <v>Venta promedio</v>
      </c>
      <c r="N140" s="22"/>
      <c r="O140" s="22"/>
      <c r="P140" s="22"/>
    </row>
    <row r="141" spans="1:16" x14ac:dyDescent="0.35">
      <c r="A141">
        <v>6996</v>
      </c>
      <c r="B141" t="s">
        <v>354</v>
      </c>
      <c r="C141" s="1">
        <v>45399</v>
      </c>
      <c r="D141" t="s">
        <v>26</v>
      </c>
      <c r="E141" t="s">
        <v>25</v>
      </c>
      <c r="F141" s="6">
        <v>1844533</v>
      </c>
      <c r="G141">
        <v>2</v>
      </c>
      <c r="H141" s="6">
        <v>3689066</v>
      </c>
      <c r="I141" t="s">
        <v>685</v>
      </c>
      <c r="J141" t="s">
        <v>4</v>
      </c>
      <c r="K141" t="s">
        <v>581</v>
      </c>
      <c r="L141" t="str">
        <f>IF(Base_ventas[[#This Row],[Método_pago]]="Efectivo","Efectivo","Electrónico")</f>
        <v>Electrónico</v>
      </c>
      <c r="M141" t="str">
        <f t="shared" si="2"/>
        <v>Venta promedio</v>
      </c>
      <c r="N141" s="22"/>
      <c r="O141" s="22"/>
      <c r="P141" s="22"/>
    </row>
    <row r="142" spans="1:16" x14ac:dyDescent="0.35">
      <c r="A142">
        <v>7627</v>
      </c>
      <c r="B142" t="s">
        <v>160</v>
      </c>
      <c r="C142" s="1">
        <v>45400</v>
      </c>
      <c r="D142" t="s">
        <v>26</v>
      </c>
      <c r="E142" t="s">
        <v>25</v>
      </c>
      <c r="F142" s="6">
        <v>1844533</v>
      </c>
      <c r="G142">
        <v>1</v>
      </c>
      <c r="H142" s="6">
        <v>1844533</v>
      </c>
      <c r="I142" t="s">
        <v>686</v>
      </c>
      <c r="J142" t="s">
        <v>3</v>
      </c>
      <c r="K142" t="s">
        <v>577</v>
      </c>
      <c r="L142" t="str">
        <f>IF(Base_ventas[[#This Row],[Método_pago]]="Efectivo","Efectivo","Electrónico")</f>
        <v>Electrónico</v>
      </c>
      <c r="M142" t="str">
        <f t="shared" si="2"/>
        <v>Venta promedio</v>
      </c>
      <c r="N142" s="22"/>
      <c r="O142" s="22"/>
      <c r="P142" s="22"/>
    </row>
    <row r="143" spans="1:16" x14ac:dyDescent="0.35">
      <c r="A143">
        <v>7207</v>
      </c>
      <c r="B143" t="s">
        <v>355</v>
      </c>
      <c r="C143" s="1">
        <v>45401</v>
      </c>
      <c r="D143" t="s">
        <v>28</v>
      </c>
      <c r="E143" t="s">
        <v>1</v>
      </c>
      <c r="F143" s="6">
        <v>177881</v>
      </c>
      <c r="G143">
        <v>1</v>
      </c>
      <c r="H143" s="6">
        <v>177881</v>
      </c>
      <c r="I143" t="s">
        <v>687</v>
      </c>
      <c r="J143" t="s">
        <v>4</v>
      </c>
      <c r="K143" t="s">
        <v>579</v>
      </c>
      <c r="L143" t="str">
        <f>IF(Base_ventas[[#This Row],[Método_pago]]="Efectivo","Efectivo","Electrónico")</f>
        <v>Electrónico</v>
      </c>
      <c r="M143" t="str">
        <f t="shared" si="2"/>
        <v>Venta promedio</v>
      </c>
      <c r="N143" s="22"/>
      <c r="O143" s="22"/>
      <c r="P143" s="22"/>
    </row>
    <row r="144" spans="1:16" x14ac:dyDescent="0.35">
      <c r="A144">
        <v>2921</v>
      </c>
      <c r="B144" t="s">
        <v>356</v>
      </c>
      <c r="C144" s="1">
        <v>45401</v>
      </c>
      <c r="D144" t="s">
        <v>28</v>
      </c>
      <c r="E144" t="s">
        <v>1</v>
      </c>
      <c r="F144" s="6">
        <v>177881</v>
      </c>
      <c r="G144">
        <v>2</v>
      </c>
      <c r="H144" s="6">
        <v>355762</v>
      </c>
      <c r="I144" t="s">
        <v>688</v>
      </c>
      <c r="J144" t="s">
        <v>4</v>
      </c>
      <c r="K144" t="s">
        <v>545</v>
      </c>
      <c r="L144" t="str">
        <f>IF(Base_ventas[[#This Row],[Método_pago]]="Efectivo","Efectivo","Electrónico")</f>
        <v>Electrónico</v>
      </c>
      <c r="M144" t="str">
        <f t="shared" si="2"/>
        <v>Venta promedio</v>
      </c>
      <c r="N144" s="22"/>
      <c r="O144" s="22"/>
      <c r="P144" s="22"/>
    </row>
    <row r="145" spans="1:16" x14ac:dyDescent="0.35">
      <c r="A145">
        <v>2560</v>
      </c>
      <c r="B145" t="s">
        <v>161</v>
      </c>
      <c r="C145" s="1">
        <v>45402</v>
      </c>
      <c r="D145" t="s">
        <v>30</v>
      </c>
      <c r="E145" t="s">
        <v>1</v>
      </c>
      <c r="F145" s="6">
        <v>114971</v>
      </c>
      <c r="G145">
        <v>3</v>
      </c>
      <c r="H145" s="6">
        <v>344913</v>
      </c>
      <c r="I145" t="s">
        <v>689</v>
      </c>
      <c r="J145" t="s">
        <v>3</v>
      </c>
      <c r="K145" t="s">
        <v>533</v>
      </c>
      <c r="L145" t="str">
        <f>IF(Base_ventas[[#This Row],[Método_pago]]="Efectivo","Efectivo","Electrónico")</f>
        <v>Electrónico</v>
      </c>
      <c r="M145" t="str">
        <f t="shared" si="2"/>
        <v>Venta promedio</v>
      </c>
      <c r="N145" s="22"/>
      <c r="O145" s="22"/>
      <c r="P145" s="22"/>
    </row>
    <row r="146" spans="1:16" x14ac:dyDescent="0.35">
      <c r="A146">
        <v>3125</v>
      </c>
      <c r="B146" t="s">
        <v>357</v>
      </c>
      <c r="C146" s="1">
        <v>45403</v>
      </c>
      <c r="D146" t="s">
        <v>26</v>
      </c>
      <c r="E146" t="s">
        <v>25</v>
      </c>
      <c r="F146" s="6">
        <v>1844533</v>
      </c>
      <c r="G146">
        <v>1</v>
      </c>
      <c r="H146" s="6">
        <v>1844533</v>
      </c>
      <c r="I146" t="s">
        <v>690</v>
      </c>
      <c r="J146" t="s">
        <v>4</v>
      </c>
      <c r="K146" t="s">
        <v>561</v>
      </c>
      <c r="L146" t="str">
        <f>IF(Base_ventas[[#This Row],[Método_pago]]="Efectivo","Efectivo","Electrónico")</f>
        <v>Electrónico</v>
      </c>
      <c r="M146" t="str">
        <f t="shared" si="2"/>
        <v>Venta promedio</v>
      </c>
      <c r="N146" s="22"/>
      <c r="O146" s="22"/>
      <c r="P146" s="22"/>
    </row>
    <row r="147" spans="1:16" x14ac:dyDescent="0.35">
      <c r="A147">
        <v>3888</v>
      </c>
      <c r="B147" t="s">
        <v>227</v>
      </c>
      <c r="C147" s="1">
        <v>45404</v>
      </c>
      <c r="D147" t="s">
        <v>28</v>
      </c>
      <c r="E147" t="s">
        <v>1</v>
      </c>
      <c r="F147" s="6">
        <v>177881</v>
      </c>
      <c r="G147">
        <v>3</v>
      </c>
      <c r="H147" s="6">
        <v>533643</v>
      </c>
      <c r="I147" t="s">
        <v>691</v>
      </c>
      <c r="J147" t="s">
        <v>2</v>
      </c>
      <c r="K147" t="s">
        <v>545</v>
      </c>
      <c r="L147" t="str">
        <f>IF(Base_ventas[[#This Row],[Método_pago]]="Efectivo","Efectivo","Electrónico")</f>
        <v>Efectivo</v>
      </c>
      <c r="M147" t="str">
        <f t="shared" si="2"/>
        <v>Venta promedio</v>
      </c>
      <c r="N147" s="22"/>
      <c r="O147" s="22"/>
      <c r="P147" s="22"/>
    </row>
    <row r="148" spans="1:16" x14ac:dyDescent="0.35">
      <c r="A148">
        <v>8268</v>
      </c>
      <c r="B148" t="s">
        <v>358</v>
      </c>
      <c r="C148" s="1">
        <v>45404</v>
      </c>
      <c r="D148" t="s">
        <v>28</v>
      </c>
      <c r="E148" t="s">
        <v>1</v>
      </c>
      <c r="F148" s="6">
        <v>177881</v>
      </c>
      <c r="G148">
        <v>1</v>
      </c>
      <c r="H148" s="6">
        <v>177881</v>
      </c>
      <c r="I148" t="s">
        <v>692</v>
      </c>
      <c r="J148" t="s">
        <v>1608</v>
      </c>
      <c r="K148" t="s">
        <v>541</v>
      </c>
      <c r="L148" t="str">
        <f>IF(Base_ventas[[#This Row],[Método_pago]]="Efectivo","Efectivo","Electrónico")</f>
        <v>Electrónico</v>
      </c>
      <c r="M148" t="str">
        <f t="shared" si="2"/>
        <v>Venta promedio</v>
      </c>
      <c r="N148" s="22"/>
      <c r="O148" s="22"/>
      <c r="P148" s="22"/>
    </row>
    <row r="149" spans="1:16" x14ac:dyDescent="0.35">
      <c r="A149">
        <v>1874</v>
      </c>
      <c r="B149" t="s">
        <v>169</v>
      </c>
      <c r="C149" s="1">
        <v>45404</v>
      </c>
      <c r="D149" t="s">
        <v>22</v>
      </c>
      <c r="E149" t="s">
        <v>23</v>
      </c>
      <c r="F149" s="6">
        <v>741722</v>
      </c>
      <c r="G149">
        <v>2</v>
      </c>
      <c r="H149" s="6">
        <v>1483444</v>
      </c>
      <c r="I149" t="s">
        <v>693</v>
      </c>
      <c r="J149" t="s">
        <v>2</v>
      </c>
      <c r="K149" t="s">
        <v>543</v>
      </c>
      <c r="L149" t="str">
        <f>IF(Base_ventas[[#This Row],[Método_pago]]="Efectivo","Efectivo","Electrónico")</f>
        <v>Efectivo</v>
      </c>
      <c r="M149" t="str">
        <f t="shared" si="2"/>
        <v>Venta promedio</v>
      </c>
      <c r="N149" s="22"/>
      <c r="O149" s="22"/>
      <c r="P149" s="22"/>
    </row>
    <row r="150" spans="1:16" x14ac:dyDescent="0.35">
      <c r="A150">
        <v>2471</v>
      </c>
      <c r="B150" t="s">
        <v>359</v>
      </c>
      <c r="C150" s="1">
        <v>45405</v>
      </c>
      <c r="D150" t="s">
        <v>26</v>
      </c>
      <c r="E150" t="s">
        <v>25</v>
      </c>
      <c r="F150" s="6">
        <v>1844533</v>
      </c>
      <c r="G150">
        <v>3</v>
      </c>
      <c r="H150" s="6">
        <v>5533599</v>
      </c>
      <c r="I150" t="s">
        <v>694</v>
      </c>
      <c r="J150" t="s">
        <v>3</v>
      </c>
      <c r="K150" t="s">
        <v>579</v>
      </c>
      <c r="L150" t="str">
        <f>IF(Base_ventas[[#This Row],[Método_pago]]="Efectivo","Efectivo","Electrónico")</f>
        <v>Electrónico</v>
      </c>
      <c r="M150" t="str">
        <f t="shared" si="2"/>
        <v>Best seller</v>
      </c>
      <c r="N150" s="22"/>
      <c r="O150" s="22"/>
      <c r="P150" s="22"/>
    </row>
    <row r="151" spans="1:16" x14ac:dyDescent="0.35">
      <c r="A151">
        <v>7289</v>
      </c>
      <c r="B151" t="s">
        <v>237</v>
      </c>
      <c r="C151" s="1">
        <v>45406</v>
      </c>
      <c r="D151" t="s">
        <v>28</v>
      </c>
      <c r="E151" t="s">
        <v>1</v>
      </c>
      <c r="F151" s="6">
        <v>177881</v>
      </c>
      <c r="G151">
        <v>1</v>
      </c>
      <c r="H151" s="6">
        <v>177881</v>
      </c>
      <c r="I151" t="s">
        <v>695</v>
      </c>
      <c r="J151" t="s">
        <v>1608</v>
      </c>
      <c r="K151" t="s">
        <v>579</v>
      </c>
      <c r="L151" t="str">
        <f>IF(Base_ventas[[#This Row],[Método_pago]]="Efectivo","Efectivo","Electrónico")</f>
        <v>Electrónico</v>
      </c>
      <c r="M151" t="str">
        <f t="shared" si="2"/>
        <v>Venta promedio</v>
      </c>
      <c r="N151" s="22"/>
      <c r="O151" s="22"/>
      <c r="P151" s="22"/>
    </row>
    <row r="152" spans="1:16" x14ac:dyDescent="0.35">
      <c r="A152">
        <v>6828</v>
      </c>
      <c r="B152" t="s">
        <v>360</v>
      </c>
      <c r="C152" s="1">
        <v>45406</v>
      </c>
      <c r="D152" t="s">
        <v>22</v>
      </c>
      <c r="E152" t="s">
        <v>23</v>
      </c>
      <c r="F152" s="6">
        <v>741722</v>
      </c>
      <c r="G152">
        <v>1</v>
      </c>
      <c r="H152" s="6">
        <v>741722</v>
      </c>
      <c r="I152" t="s">
        <v>696</v>
      </c>
      <c r="J152" t="s">
        <v>1608</v>
      </c>
      <c r="K152" t="s">
        <v>579</v>
      </c>
      <c r="L152" t="str">
        <f>IF(Base_ventas[[#This Row],[Método_pago]]="Efectivo","Efectivo","Electrónico")</f>
        <v>Electrónico</v>
      </c>
      <c r="M152" t="str">
        <f t="shared" si="2"/>
        <v>Venta promedio</v>
      </c>
      <c r="N152" s="22"/>
      <c r="O152" s="22"/>
      <c r="P152" s="22"/>
    </row>
    <row r="153" spans="1:16" x14ac:dyDescent="0.35">
      <c r="A153">
        <v>7290</v>
      </c>
      <c r="B153" t="s">
        <v>361</v>
      </c>
      <c r="C153" s="1">
        <v>45406</v>
      </c>
      <c r="D153" t="s">
        <v>22</v>
      </c>
      <c r="E153" t="s">
        <v>23</v>
      </c>
      <c r="F153" s="6">
        <v>741722</v>
      </c>
      <c r="G153">
        <v>2</v>
      </c>
      <c r="H153" s="6">
        <v>1483444</v>
      </c>
      <c r="I153" t="s">
        <v>697</v>
      </c>
      <c r="J153" t="s">
        <v>4</v>
      </c>
      <c r="K153" t="s">
        <v>581</v>
      </c>
      <c r="L153" t="str">
        <f>IF(Base_ventas[[#This Row],[Método_pago]]="Efectivo","Efectivo","Electrónico")</f>
        <v>Electrónico</v>
      </c>
      <c r="M153" t="str">
        <f t="shared" si="2"/>
        <v>Venta promedio</v>
      </c>
      <c r="N153" s="22"/>
      <c r="O153" s="22"/>
      <c r="P153" s="22"/>
    </row>
    <row r="154" spans="1:16" x14ac:dyDescent="0.35">
      <c r="A154">
        <v>7709</v>
      </c>
      <c r="B154" t="s">
        <v>362</v>
      </c>
      <c r="C154" s="1">
        <v>45406</v>
      </c>
      <c r="D154" t="s">
        <v>24</v>
      </c>
      <c r="E154" t="s">
        <v>25</v>
      </c>
      <c r="F154" s="6">
        <v>707995</v>
      </c>
      <c r="G154">
        <v>1</v>
      </c>
      <c r="H154" s="6">
        <v>707995</v>
      </c>
      <c r="I154" t="s">
        <v>698</v>
      </c>
      <c r="J154" t="s">
        <v>3</v>
      </c>
      <c r="K154" t="s">
        <v>622</v>
      </c>
      <c r="L154" t="str">
        <f>IF(Base_ventas[[#This Row],[Método_pago]]="Efectivo","Efectivo","Electrónico")</f>
        <v>Electrónico</v>
      </c>
      <c r="M154" t="str">
        <f t="shared" si="2"/>
        <v>Venta promedio</v>
      </c>
      <c r="N154" s="22"/>
      <c r="O154" s="22"/>
      <c r="P154" s="22"/>
    </row>
    <row r="155" spans="1:16" x14ac:dyDescent="0.35">
      <c r="A155">
        <v>5222</v>
      </c>
      <c r="B155" t="s">
        <v>363</v>
      </c>
      <c r="C155" s="1">
        <v>45407</v>
      </c>
      <c r="D155" t="s">
        <v>26</v>
      </c>
      <c r="E155" t="s">
        <v>25</v>
      </c>
      <c r="F155" s="6">
        <v>1844533</v>
      </c>
      <c r="G155">
        <v>2</v>
      </c>
      <c r="H155" s="6">
        <v>3689066</v>
      </c>
      <c r="I155" t="s">
        <v>699</v>
      </c>
      <c r="J155" t="s">
        <v>4</v>
      </c>
      <c r="K155" t="s">
        <v>545</v>
      </c>
      <c r="L155" t="str">
        <f>IF(Base_ventas[[#This Row],[Método_pago]]="Efectivo","Efectivo","Electrónico")</f>
        <v>Electrónico</v>
      </c>
      <c r="M155" t="str">
        <f t="shared" si="2"/>
        <v>Venta promedio</v>
      </c>
      <c r="N155" s="22"/>
      <c r="O155" s="22"/>
      <c r="P155" s="22"/>
    </row>
    <row r="156" spans="1:16" x14ac:dyDescent="0.35">
      <c r="A156">
        <v>2221</v>
      </c>
      <c r="B156" t="s">
        <v>364</v>
      </c>
      <c r="C156" s="1">
        <v>45407</v>
      </c>
      <c r="D156" t="s">
        <v>22</v>
      </c>
      <c r="E156" t="s">
        <v>23</v>
      </c>
      <c r="F156" s="6">
        <v>741722</v>
      </c>
      <c r="G156">
        <v>3</v>
      </c>
      <c r="H156" s="6">
        <v>2225166</v>
      </c>
      <c r="I156" t="s">
        <v>700</v>
      </c>
      <c r="J156" t="s">
        <v>2</v>
      </c>
      <c r="K156" t="s">
        <v>533</v>
      </c>
      <c r="L156" t="str">
        <f>IF(Base_ventas[[#This Row],[Método_pago]]="Efectivo","Efectivo","Electrónico")</f>
        <v>Efectivo</v>
      </c>
      <c r="M156" t="str">
        <f t="shared" si="2"/>
        <v>Best seller</v>
      </c>
      <c r="N156" s="22"/>
      <c r="O156" s="22"/>
      <c r="P156" s="22"/>
    </row>
    <row r="157" spans="1:16" x14ac:dyDescent="0.35">
      <c r="A157">
        <v>8166</v>
      </c>
      <c r="B157" t="s">
        <v>365</v>
      </c>
      <c r="C157" s="1">
        <v>45407</v>
      </c>
      <c r="D157" t="s">
        <v>24</v>
      </c>
      <c r="E157" t="s">
        <v>25</v>
      </c>
      <c r="F157" s="6">
        <v>707995</v>
      </c>
      <c r="G157">
        <v>2</v>
      </c>
      <c r="H157" s="6">
        <v>1415990</v>
      </c>
      <c r="I157" t="s">
        <v>701</v>
      </c>
      <c r="J157" t="s">
        <v>3</v>
      </c>
      <c r="K157" t="s">
        <v>579</v>
      </c>
      <c r="L157" t="str">
        <f>IF(Base_ventas[[#This Row],[Método_pago]]="Efectivo","Efectivo","Electrónico")</f>
        <v>Electrónico</v>
      </c>
      <c r="M157" t="str">
        <f t="shared" si="2"/>
        <v>Venta promedio</v>
      </c>
      <c r="N157" s="22"/>
      <c r="O157" s="22"/>
      <c r="P157" s="22"/>
    </row>
    <row r="158" spans="1:16" x14ac:dyDescent="0.35">
      <c r="A158">
        <v>4445</v>
      </c>
      <c r="B158" t="s">
        <v>366</v>
      </c>
      <c r="C158" s="1">
        <v>45408</v>
      </c>
      <c r="D158" t="s">
        <v>22</v>
      </c>
      <c r="E158" t="s">
        <v>23</v>
      </c>
      <c r="F158" s="6">
        <v>741722</v>
      </c>
      <c r="G158">
        <v>3</v>
      </c>
      <c r="H158" s="6">
        <v>2225166</v>
      </c>
      <c r="I158" t="s">
        <v>702</v>
      </c>
      <c r="J158" t="s">
        <v>4</v>
      </c>
      <c r="K158" t="s">
        <v>535</v>
      </c>
      <c r="L158" t="str">
        <f>IF(Base_ventas[[#This Row],[Método_pago]]="Efectivo","Efectivo","Electrónico")</f>
        <v>Electrónico</v>
      </c>
      <c r="M158" t="str">
        <f t="shared" si="2"/>
        <v>Best seller</v>
      </c>
      <c r="N158" s="22"/>
      <c r="O158" s="22"/>
      <c r="P158" s="22"/>
    </row>
    <row r="159" spans="1:16" x14ac:dyDescent="0.35">
      <c r="A159">
        <v>9288</v>
      </c>
      <c r="B159" t="s">
        <v>219</v>
      </c>
      <c r="C159" s="1">
        <v>45408</v>
      </c>
      <c r="D159" t="s">
        <v>22</v>
      </c>
      <c r="E159" t="s">
        <v>23</v>
      </c>
      <c r="F159" s="6">
        <v>741722</v>
      </c>
      <c r="G159">
        <v>1</v>
      </c>
      <c r="H159" s="6">
        <v>741722</v>
      </c>
      <c r="I159" t="s">
        <v>703</v>
      </c>
      <c r="J159" t="s">
        <v>1608</v>
      </c>
      <c r="K159" t="s">
        <v>579</v>
      </c>
      <c r="L159" t="str">
        <f>IF(Base_ventas[[#This Row],[Método_pago]]="Efectivo","Efectivo","Electrónico")</f>
        <v>Electrónico</v>
      </c>
      <c r="M159" t="str">
        <f t="shared" si="2"/>
        <v>Venta promedio</v>
      </c>
      <c r="N159" s="22"/>
      <c r="O159" s="22"/>
      <c r="P159" s="22"/>
    </row>
    <row r="160" spans="1:16" x14ac:dyDescent="0.35">
      <c r="A160">
        <v>4538</v>
      </c>
      <c r="B160" t="s">
        <v>208</v>
      </c>
      <c r="C160" s="1">
        <v>45408</v>
      </c>
      <c r="D160" t="s">
        <v>24</v>
      </c>
      <c r="E160" t="s">
        <v>25</v>
      </c>
      <c r="F160" s="6">
        <v>707995</v>
      </c>
      <c r="G160">
        <v>1</v>
      </c>
      <c r="H160" s="6">
        <v>707995</v>
      </c>
      <c r="I160" t="s">
        <v>704</v>
      </c>
      <c r="J160" t="s">
        <v>3</v>
      </c>
      <c r="K160" t="s">
        <v>545</v>
      </c>
      <c r="L160" t="str">
        <f>IF(Base_ventas[[#This Row],[Método_pago]]="Efectivo","Efectivo","Electrónico")</f>
        <v>Electrónico</v>
      </c>
      <c r="M160" t="str">
        <f t="shared" si="2"/>
        <v>Venta promedio</v>
      </c>
      <c r="N160" s="22"/>
      <c r="O160" s="22"/>
      <c r="P160" s="22"/>
    </row>
    <row r="161" spans="1:16" x14ac:dyDescent="0.35">
      <c r="A161">
        <v>1105</v>
      </c>
      <c r="B161" t="s">
        <v>124</v>
      </c>
      <c r="C161" s="1">
        <v>45409</v>
      </c>
      <c r="D161" t="s">
        <v>22</v>
      </c>
      <c r="E161" t="s">
        <v>23</v>
      </c>
      <c r="F161" s="6">
        <v>741722</v>
      </c>
      <c r="G161">
        <v>3</v>
      </c>
      <c r="H161" s="6">
        <v>2225166</v>
      </c>
      <c r="I161" t="s">
        <v>705</v>
      </c>
      <c r="J161" t="s">
        <v>1608</v>
      </c>
      <c r="K161" t="s">
        <v>535</v>
      </c>
      <c r="L161" t="str">
        <f>IF(Base_ventas[[#This Row],[Método_pago]]="Efectivo","Efectivo","Electrónico")</f>
        <v>Electrónico</v>
      </c>
      <c r="M161" t="str">
        <f t="shared" si="2"/>
        <v>Best seller</v>
      </c>
      <c r="N161" s="22"/>
      <c r="O161" s="22"/>
      <c r="P161" s="22"/>
    </row>
    <row r="162" spans="1:16" x14ac:dyDescent="0.35">
      <c r="A162">
        <v>4784</v>
      </c>
      <c r="B162" t="s">
        <v>367</v>
      </c>
      <c r="C162" s="1">
        <v>45411</v>
      </c>
      <c r="D162" t="s">
        <v>24</v>
      </c>
      <c r="E162" t="s">
        <v>25</v>
      </c>
      <c r="F162" s="6">
        <v>707995</v>
      </c>
      <c r="G162">
        <v>3</v>
      </c>
      <c r="H162" s="6">
        <v>2123985</v>
      </c>
      <c r="I162" t="s">
        <v>706</v>
      </c>
      <c r="J162" t="s">
        <v>1608</v>
      </c>
      <c r="K162" t="s">
        <v>535</v>
      </c>
      <c r="L162" t="str">
        <f>IF(Base_ventas[[#This Row],[Método_pago]]="Efectivo","Efectivo","Electrónico")</f>
        <v>Electrónico</v>
      </c>
      <c r="M162" t="str">
        <f t="shared" si="2"/>
        <v>Best seller</v>
      </c>
      <c r="N162" s="22"/>
      <c r="O162" s="22"/>
      <c r="P162" s="22"/>
    </row>
    <row r="163" spans="1:16" x14ac:dyDescent="0.35">
      <c r="A163">
        <v>4317</v>
      </c>
      <c r="B163" t="s">
        <v>368</v>
      </c>
      <c r="C163" s="1">
        <v>45411</v>
      </c>
      <c r="D163" t="s">
        <v>28</v>
      </c>
      <c r="E163" t="s">
        <v>1</v>
      </c>
      <c r="F163" s="6">
        <v>177881</v>
      </c>
      <c r="G163">
        <v>3</v>
      </c>
      <c r="H163" s="6">
        <v>533643</v>
      </c>
      <c r="I163" t="s">
        <v>707</v>
      </c>
      <c r="J163" t="s">
        <v>4</v>
      </c>
      <c r="K163" t="s">
        <v>579</v>
      </c>
      <c r="L163" t="str">
        <f>IF(Base_ventas[[#This Row],[Método_pago]]="Efectivo","Efectivo","Electrónico")</f>
        <v>Electrónico</v>
      </c>
      <c r="M163" t="str">
        <f t="shared" si="2"/>
        <v>Venta promedio</v>
      </c>
      <c r="N163" s="22"/>
      <c r="O163" s="22"/>
      <c r="P163" s="22"/>
    </row>
    <row r="164" spans="1:16" x14ac:dyDescent="0.35">
      <c r="A164">
        <v>2597</v>
      </c>
      <c r="B164" t="s">
        <v>146</v>
      </c>
      <c r="C164" s="1">
        <v>45412</v>
      </c>
      <c r="D164" t="s">
        <v>22</v>
      </c>
      <c r="E164" t="s">
        <v>23</v>
      </c>
      <c r="F164" s="6">
        <v>741722</v>
      </c>
      <c r="G164">
        <v>3</v>
      </c>
      <c r="H164" s="6">
        <v>2225166</v>
      </c>
      <c r="I164" t="s">
        <v>708</v>
      </c>
      <c r="J164" t="s">
        <v>1608</v>
      </c>
      <c r="K164" t="s">
        <v>533</v>
      </c>
      <c r="L164" t="str">
        <f>IF(Base_ventas[[#This Row],[Método_pago]]="Efectivo","Efectivo","Electrónico")</f>
        <v>Electrónico</v>
      </c>
      <c r="M164" t="str">
        <f t="shared" si="2"/>
        <v>Best seller</v>
      </c>
      <c r="N164" s="22"/>
      <c r="O164" s="22"/>
      <c r="P164" s="22"/>
    </row>
    <row r="165" spans="1:16" x14ac:dyDescent="0.35">
      <c r="A165">
        <v>9458</v>
      </c>
      <c r="B165" t="s">
        <v>40</v>
      </c>
      <c r="C165" s="1">
        <v>45412</v>
      </c>
      <c r="D165" t="s">
        <v>30</v>
      </c>
      <c r="E165" t="s">
        <v>1</v>
      </c>
      <c r="F165" s="6">
        <v>114971</v>
      </c>
      <c r="G165">
        <v>3</v>
      </c>
      <c r="H165" s="6">
        <v>344913</v>
      </c>
      <c r="I165" t="s">
        <v>709</v>
      </c>
      <c r="J165" t="s">
        <v>1608</v>
      </c>
      <c r="K165" t="s">
        <v>561</v>
      </c>
      <c r="L165" t="str">
        <f>IF(Base_ventas[[#This Row],[Método_pago]]="Efectivo","Efectivo","Electrónico")</f>
        <v>Electrónico</v>
      </c>
      <c r="M165" t="str">
        <f t="shared" si="2"/>
        <v>Venta promedio</v>
      </c>
      <c r="N165" s="22"/>
      <c r="O165" s="22"/>
      <c r="P165" s="22"/>
    </row>
    <row r="166" spans="1:16" x14ac:dyDescent="0.35">
      <c r="A166">
        <v>5012</v>
      </c>
      <c r="B166" t="s">
        <v>369</v>
      </c>
      <c r="C166" s="1">
        <v>45413</v>
      </c>
      <c r="D166" t="s">
        <v>30</v>
      </c>
      <c r="E166" t="s">
        <v>1</v>
      </c>
      <c r="F166" s="6">
        <v>114971</v>
      </c>
      <c r="G166">
        <v>1</v>
      </c>
      <c r="H166" s="6">
        <v>114971</v>
      </c>
      <c r="I166" t="s">
        <v>710</v>
      </c>
      <c r="J166" t="s">
        <v>4</v>
      </c>
      <c r="K166" t="s">
        <v>545</v>
      </c>
      <c r="L166" t="str">
        <f>IF(Base_ventas[[#This Row],[Método_pago]]="Efectivo","Efectivo","Electrónico")</f>
        <v>Electrónico</v>
      </c>
      <c r="M166" t="str">
        <f t="shared" si="2"/>
        <v>Venta promedio</v>
      </c>
      <c r="N166" s="22"/>
      <c r="O166" s="22"/>
      <c r="P166" s="22"/>
    </row>
    <row r="167" spans="1:16" x14ac:dyDescent="0.35">
      <c r="A167">
        <v>9875</v>
      </c>
      <c r="B167" t="s">
        <v>370</v>
      </c>
      <c r="C167" s="1">
        <v>45413</v>
      </c>
      <c r="D167" t="s">
        <v>30</v>
      </c>
      <c r="E167" t="s">
        <v>1</v>
      </c>
      <c r="F167" s="6">
        <v>114971</v>
      </c>
      <c r="G167">
        <v>2</v>
      </c>
      <c r="H167" s="6">
        <v>229942</v>
      </c>
      <c r="I167" t="s">
        <v>711</v>
      </c>
      <c r="J167" t="s">
        <v>3</v>
      </c>
      <c r="K167" t="s">
        <v>581</v>
      </c>
      <c r="L167" t="str">
        <f>IF(Base_ventas[[#This Row],[Método_pago]]="Efectivo","Efectivo","Electrónico")</f>
        <v>Electrónico</v>
      </c>
      <c r="M167" t="str">
        <f t="shared" si="2"/>
        <v>Venta promedio</v>
      </c>
      <c r="N167" s="22"/>
      <c r="O167" s="22"/>
      <c r="P167" s="22"/>
    </row>
    <row r="168" spans="1:16" x14ac:dyDescent="0.35">
      <c r="A168">
        <v>3177</v>
      </c>
      <c r="B168" t="s">
        <v>371</v>
      </c>
      <c r="C168" s="1">
        <v>45415</v>
      </c>
      <c r="D168" t="s">
        <v>28</v>
      </c>
      <c r="E168" t="s">
        <v>1</v>
      </c>
      <c r="F168" s="6">
        <v>177881</v>
      </c>
      <c r="G168">
        <v>3</v>
      </c>
      <c r="H168" s="6">
        <v>533643</v>
      </c>
      <c r="I168" t="s">
        <v>712</v>
      </c>
      <c r="J168" t="s">
        <v>2</v>
      </c>
      <c r="K168" t="s">
        <v>602</v>
      </c>
      <c r="L168" t="str">
        <f>IF(Base_ventas[[#This Row],[Método_pago]]="Efectivo","Efectivo","Electrónico")</f>
        <v>Efectivo</v>
      </c>
      <c r="M168" t="str">
        <f t="shared" si="2"/>
        <v>Venta promedio</v>
      </c>
      <c r="N168" s="22"/>
      <c r="O168" s="22"/>
      <c r="P168" s="22"/>
    </row>
    <row r="169" spans="1:16" x14ac:dyDescent="0.35">
      <c r="A169">
        <v>4984</v>
      </c>
      <c r="B169" t="s">
        <v>125</v>
      </c>
      <c r="C169" s="1">
        <v>45416</v>
      </c>
      <c r="D169" t="s">
        <v>22</v>
      </c>
      <c r="E169" t="s">
        <v>23</v>
      </c>
      <c r="F169" s="6">
        <v>741722</v>
      </c>
      <c r="G169">
        <v>3</v>
      </c>
      <c r="H169" s="6">
        <v>2225166</v>
      </c>
      <c r="I169" t="s">
        <v>713</v>
      </c>
      <c r="J169" t="s">
        <v>3</v>
      </c>
      <c r="K169" t="s">
        <v>545</v>
      </c>
      <c r="L169" t="str">
        <f>IF(Base_ventas[[#This Row],[Método_pago]]="Efectivo","Efectivo","Electrónico")</f>
        <v>Electrónico</v>
      </c>
      <c r="M169" t="str">
        <f t="shared" si="2"/>
        <v>Best seller</v>
      </c>
      <c r="N169" s="22"/>
      <c r="O169" s="22"/>
      <c r="P169" s="22"/>
    </row>
    <row r="170" spans="1:16" x14ac:dyDescent="0.35">
      <c r="A170">
        <v>9717</v>
      </c>
      <c r="B170" t="s">
        <v>372</v>
      </c>
      <c r="C170" s="1">
        <v>45418</v>
      </c>
      <c r="D170" t="s">
        <v>22</v>
      </c>
      <c r="E170" t="s">
        <v>23</v>
      </c>
      <c r="F170" s="6">
        <v>741722</v>
      </c>
      <c r="G170">
        <v>2</v>
      </c>
      <c r="H170" s="6">
        <v>1483444</v>
      </c>
      <c r="I170" t="s">
        <v>714</v>
      </c>
      <c r="J170" t="s">
        <v>1608</v>
      </c>
      <c r="K170" t="s">
        <v>602</v>
      </c>
      <c r="L170" t="str">
        <f>IF(Base_ventas[[#This Row],[Método_pago]]="Efectivo","Efectivo","Electrónico")</f>
        <v>Electrónico</v>
      </c>
      <c r="M170" t="str">
        <f t="shared" si="2"/>
        <v>Venta promedio</v>
      </c>
      <c r="N170" s="22"/>
      <c r="O170" s="22"/>
      <c r="P170" s="22"/>
    </row>
    <row r="171" spans="1:16" x14ac:dyDescent="0.35">
      <c r="A171">
        <v>7136</v>
      </c>
      <c r="B171" t="s">
        <v>90</v>
      </c>
      <c r="C171" s="1">
        <v>45418</v>
      </c>
      <c r="D171" t="s">
        <v>22</v>
      </c>
      <c r="E171" t="s">
        <v>23</v>
      </c>
      <c r="F171" s="6">
        <v>741722</v>
      </c>
      <c r="G171">
        <v>1</v>
      </c>
      <c r="H171" s="6">
        <v>741722</v>
      </c>
      <c r="I171" t="s">
        <v>715</v>
      </c>
      <c r="J171" t="s">
        <v>4</v>
      </c>
      <c r="K171" t="s">
        <v>547</v>
      </c>
      <c r="L171" t="str">
        <f>IF(Base_ventas[[#This Row],[Método_pago]]="Efectivo","Efectivo","Electrónico")</f>
        <v>Electrónico</v>
      </c>
      <c r="M171" t="str">
        <f t="shared" si="2"/>
        <v>Venta promedio</v>
      </c>
      <c r="N171" s="22"/>
      <c r="O171" s="22"/>
      <c r="P171" s="22"/>
    </row>
    <row r="172" spans="1:16" x14ac:dyDescent="0.35">
      <c r="A172">
        <v>8334</v>
      </c>
      <c r="B172" t="s">
        <v>373</v>
      </c>
      <c r="C172" s="1">
        <v>45418</v>
      </c>
      <c r="D172" t="s">
        <v>22</v>
      </c>
      <c r="E172" t="s">
        <v>23</v>
      </c>
      <c r="F172" s="6">
        <v>741722</v>
      </c>
      <c r="G172">
        <v>1</v>
      </c>
      <c r="H172" s="6">
        <v>741722</v>
      </c>
      <c r="I172" t="s">
        <v>716</v>
      </c>
      <c r="J172" t="s">
        <v>4</v>
      </c>
      <c r="K172" t="s">
        <v>543</v>
      </c>
      <c r="L172" t="str">
        <f>IF(Base_ventas[[#This Row],[Método_pago]]="Efectivo","Efectivo","Electrónico")</f>
        <v>Electrónico</v>
      </c>
      <c r="M172" t="str">
        <f t="shared" si="2"/>
        <v>Venta promedio</v>
      </c>
      <c r="N172" s="22"/>
      <c r="O172" s="22"/>
      <c r="P172" s="22"/>
    </row>
    <row r="173" spans="1:16" x14ac:dyDescent="0.35">
      <c r="A173">
        <v>3796</v>
      </c>
      <c r="B173" t="s">
        <v>148</v>
      </c>
      <c r="C173" s="1">
        <v>45418</v>
      </c>
      <c r="D173" t="s">
        <v>26</v>
      </c>
      <c r="E173" t="s">
        <v>25</v>
      </c>
      <c r="F173" s="6">
        <v>1844533</v>
      </c>
      <c r="G173">
        <v>2</v>
      </c>
      <c r="H173" s="6">
        <v>3689066</v>
      </c>
      <c r="I173" t="s">
        <v>717</v>
      </c>
      <c r="J173" t="s">
        <v>2</v>
      </c>
      <c r="K173" t="s">
        <v>537</v>
      </c>
      <c r="L173" t="str">
        <f>IF(Base_ventas[[#This Row],[Método_pago]]="Efectivo","Efectivo","Electrónico")</f>
        <v>Efectivo</v>
      </c>
      <c r="M173" t="str">
        <f t="shared" si="2"/>
        <v>Venta promedio</v>
      </c>
      <c r="N173" s="22"/>
      <c r="O173" s="22"/>
      <c r="P173" s="22"/>
    </row>
    <row r="174" spans="1:16" x14ac:dyDescent="0.35">
      <c r="A174">
        <v>8034</v>
      </c>
      <c r="B174" t="s">
        <v>147</v>
      </c>
      <c r="C174" s="1">
        <v>45418</v>
      </c>
      <c r="D174" t="s">
        <v>22</v>
      </c>
      <c r="E174" t="s">
        <v>23</v>
      </c>
      <c r="F174" s="6">
        <v>741722</v>
      </c>
      <c r="G174">
        <v>1</v>
      </c>
      <c r="H174" s="6">
        <v>741722</v>
      </c>
      <c r="I174" t="s">
        <v>718</v>
      </c>
      <c r="J174" t="s">
        <v>4</v>
      </c>
      <c r="K174" t="s">
        <v>537</v>
      </c>
      <c r="L174" t="str">
        <f>IF(Base_ventas[[#This Row],[Método_pago]]="Efectivo","Efectivo","Electrónico")</f>
        <v>Electrónico</v>
      </c>
      <c r="M174" t="str">
        <f t="shared" si="2"/>
        <v>Venta promedio</v>
      </c>
      <c r="N174" s="22"/>
      <c r="O174" s="22"/>
      <c r="P174" s="22"/>
    </row>
    <row r="175" spans="1:16" x14ac:dyDescent="0.35">
      <c r="A175">
        <v>4137</v>
      </c>
      <c r="B175" t="s">
        <v>278</v>
      </c>
      <c r="C175" s="1">
        <v>45419</v>
      </c>
      <c r="D175" t="s">
        <v>22</v>
      </c>
      <c r="E175" t="s">
        <v>23</v>
      </c>
      <c r="F175" s="6">
        <v>741722</v>
      </c>
      <c r="G175">
        <v>3</v>
      </c>
      <c r="H175" s="6">
        <v>2225166</v>
      </c>
      <c r="I175" t="s">
        <v>719</v>
      </c>
      <c r="J175" t="s">
        <v>1608</v>
      </c>
      <c r="K175" t="s">
        <v>579</v>
      </c>
      <c r="L175" t="str">
        <f>IF(Base_ventas[[#This Row],[Método_pago]]="Efectivo","Efectivo","Electrónico")</f>
        <v>Electrónico</v>
      </c>
      <c r="M175" t="str">
        <f t="shared" si="2"/>
        <v>Best seller</v>
      </c>
      <c r="N175" s="22"/>
      <c r="O175" s="22"/>
      <c r="P175" s="22"/>
    </row>
    <row r="176" spans="1:16" x14ac:dyDescent="0.35">
      <c r="A176">
        <v>6193</v>
      </c>
      <c r="B176" t="s">
        <v>374</v>
      </c>
      <c r="C176" s="1">
        <v>45419</v>
      </c>
      <c r="D176" t="s">
        <v>26</v>
      </c>
      <c r="E176" t="s">
        <v>25</v>
      </c>
      <c r="F176" s="6">
        <v>1844533</v>
      </c>
      <c r="G176">
        <v>3</v>
      </c>
      <c r="H176" s="6">
        <v>5533599</v>
      </c>
      <c r="I176" t="s">
        <v>720</v>
      </c>
      <c r="J176" t="s">
        <v>2</v>
      </c>
      <c r="K176" t="s">
        <v>561</v>
      </c>
      <c r="L176" t="str">
        <f>IF(Base_ventas[[#This Row],[Método_pago]]="Efectivo","Efectivo","Electrónico")</f>
        <v>Efectivo</v>
      </c>
      <c r="M176" t="str">
        <f t="shared" si="2"/>
        <v>Best seller</v>
      </c>
      <c r="N176" s="22"/>
      <c r="O176" s="22"/>
      <c r="P176" s="22"/>
    </row>
    <row r="177" spans="1:16" x14ac:dyDescent="0.35">
      <c r="A177">
        <v>9925</v>
      </c>
      <c r="B177" t="s">
        <v>172</v>
      </c>
      <c r="C177" s="1">
        <v>45421</v>
      </c>
      <c r="D177" t="s">
        <v>30</v>
      </c>
      <c r="E177" t="s">
        <v>1</v>
      </c>
      <c r="F177" s="6">
        <v>114971</v>
      </c>
      <c r="G177">
        <v>1</v>
      </c>
      <c r="H177" s="6">
        <v>114971</v>
      </c>
      <c r="I177" t="s">
        <v>721</v>
      </c>
      <c r="J177" t="s">
        <v>3</v>
      </c>
      <c r="K177" t="s">
        <v>535</v>
      </c>
      <c r="L177" t="str">
        <f>IF(Base_ventas[[#This Row],[Método_pago]]="Efectivo","Efectivo","Electrónico")</f>
        <v>Electrónico</v>
      </c>
      <c r="M177" t="str">
        <f t="shared" si="2"/>
        <v>Venta promedio</v>
      </c>
      <c r="N177" s="22"/>
      <c r="O177" s="22"/>
      <c r="P177" s="22"/>
    </row>
    <row r="178" spans="1:16" x14ac:dyDescent="0.35">
      <c r="A178">
        <v>6763</v>
      </c>
      <c r="B178" t="s">
        <v>254</v>
      </c>
      <c r="C178" s="1">
        <v>45422</v>
      </c>
      <c r="D178" t="s">
        <v>28</v>
      </c>
      <c r="E178" t="s">
        <v>1</v>
      </c>
      <c r="F178" s="6">
        <v>177881</v>
      </c>
      <c r="G178">
        <v>1</v>
      </c>
      <c r="H178" s="6">
        <v>177881</v>
      </c>
      <c r="I178" t="s">
        <v>722</v>
      </c>
      <c r="J178" t="s">
        <v>1608</v>
      </c>
      <c r="K178" t="s">
        <v>537</v>
      </c>
      <c r="L178" t="str">
        <f>IF(Base_ventas[[#This Row],[Método_pago]]="Efectivo","Efectivo","Electrónico")</f>
        <v>Electrónico</v>
      </c>
      <c r="M178" t="str">
        <f t="shared" si="2"/>
        <v>Venta promedio</v>
      </c>
      <c r="N178" s="22"/>
      <c r="O178" s="22"/>
      <c r="P178" s="22"/>
    </row>
    <row r="179" spans="1:16" x14ac:dyDescent="0.35">
      <c r="A179">
        <v>1598</v>
      </c>
      <c r="B179" t="s">
        <v>32</v>
      </c>
      <c r="C179" s="1">
        <v>45422</v>
      </c>
      <c r="D179" t="s">
        <v>24</v>
      </c>
      <c r="E179" t="s">
        <v>25</v>
      </c>
      <c r="F179" s="6">
        <v>707995</v>
      </c>
      <c r="G179">
        <v>1</v>
      </c>
      <c r="H179" s="6">
        <v>707995</v>
      </c>
      <c r="I179" t="s">
        <v>723</v>
      </c>
      <c r="J179" t="s">
        <v>1608</v>
      </c>
      <c r="K179" t="s">
        <v>622</v>
      </c>
      <c r="L179" t="str">
        <f>IF(Base_ventas[[#This Row],[Método_pago]]="Efectivo","Efectivo","Electrónico")</f>
        <v>Electrónico</v>
      </c>
      <c r="M179" t="str">
        <f t="shared" si="2"/>
        <v>Venta promedio</v>
      </c>
      <c r="N179" s="22"/>
      <c r="O179" s="22"/>
      <c r="P179" s="22"/>
    </row>
    <row r="180" spans="1:16" x14ac:dyDescent="0.35">
      <c r="A180">
        <v>7107</v>
      </c>
      <c r="B180" t="s">
        <v>52</v>
      </c>
      <c r="C180" s="1">
        <v>45422</v>
      </c>
      <c r="D180" t="s">
        <v>22</v>
      </c>
      <c r="E180" t="s">
        <v>23</v>
      </c>
      <c r="F180" s="6">
        <v>741722</v>
      </c>
      <c r="G180">
        <v>3</v>
      </c>
      <c r="H180" s="6">
        <v>2225166</v>
      </c>
      <c r="I180" t="s">
        <v>724</v>
      </c>
      <c r="J180" t="s">
        <v>3</v>
      </c>
      <c r="K180" t="s">
        <v>622</v>
      </c>
      <c r="L180" t="str">
        <f>IF(Base_ventas[[#This Row],[Método_pago]]="Efectivo","Efectivo","Electrónico")</f>
        <v>Electrónico</v>
      </c>
      <c r="M180" t="str">
        <f t="shared" si="2"/>
        <v>Best seller</v>
      </c>
      <c r="N180" s="22"/>
      <c r="O180" s="22"/>
      <c r="P180" s="22"/>
    </row>
    <row r="181" spans="1:16" x14ac:dyDescent="0.35">
      <c r="A181">
        <v>3585</v>
      </c>
      <c r="B181" t="s">
        <v>375</v>
      </c>
      <c r="C181" s="1">
        <v>45423</v>
      </c>
      <c r="D181" t="s">
        <v>28</v>
      </c>
      <c r="E181" t="s">
        <v>1</v>
      </c>
      <c r="F181" s="6">
        <v>177881</v>
      </c>
      <c r="G181">
        <v>3</v>
      </c>
      <c r="H181" s="6">
        <v>533643</v>
      </c>
      <c r="I181" t="s">
        <v>725</v>
      </c>
      <c r="J181" t="s">
        <v>1608</v>
      </c>
      <c r="K181" t="s">
        <v>535</v>
      </c>
      <c r="L181" t="str">
        <f>IF(Base_ventas[[#This Row],[Método_pago]]="Efectivo","Efectivo","Electrónico")</f>
        <v>Electrónico</v>
      </c>
      <c r="M181" t="str">
        <f t="shared" si="2"/>
        <v>Venta promedio</v>
      </c>
      <c r="N181" s="22"/>
      <c r="O181" s="22"/>
      <c r="P181" s="22"/>
    </row>
    <row r="182" spans="1:16" x14ac:dyDescent="0.35">
      <c r="A182">
        <v>9414</v>
      </c>
      <c r="B182" t="s">
        <v>78</v>
      </c>
      <c r="C182" s="1">
        <v>45423</v>
      </c>
      <c r="D182" t="s">
        <v>30</v>
      </c>
      <c r="E182" t="s">
        <v>1</v>
      </c>
      <c r="F182" s="6">
        <v>114971</v>
      </c>
      <c r="G182">
        <v>3</v>
      </c>
      <c r="H182" s="6">
        <v>344913</v>
      </c>
      <c r="I182" t="s">
        <v>726</v>
      </c>
      <c r="J182" t="s">
        <v>3</v>
      </c>
      <c r="K182" t="s">
        <v>535</v>
      </c>
      <c r="L182" t="str">
        <f>IF(Base_ventas[[#This Row],[Método_pago]]="Efectivo","Efectivo","Electrónico")</f>
        <v>Electrónico</v>
      </c>
      <c r="M182" t="str">
        <f t="shared" si="2"/>
        <v>Venta promedio</v>
      </c>
      <c r="N182" s="22"/>
      <c r="O182" s="22"/>
      <c r="P182" s="22"/>
    </row>
    <row r="183" spans="1:16" x14ac:dyDescent="0.35">
      <c r="A183">
        <v>1423</v>
      </c>
      <c r="B183" t="s">
        <v>82</v>
      </c>
      <c r="C183" s="1">
        <v>45423</v>
      </c>
      <c r="D183" t="s">
        <v>24</v>
      </c>
      <c r="E183" t="s">
        <v>25</v>
      </c>
      <c r="F183" s="6">
        <v>707995</v>
      </c>
      <c r="G183">
        <v>1</v>
      </c>
      <c r="H183" s="6">
        <v>707995</v>
      </c>
      <c r="I183" t="s">
        <v>727</v>
      </c>
      <c r="J183" t="s">
        <v>4</v>
      </c>
      <c r="K183" t="s">
        <v>581</v>
      </c>
      <c r="L183" t="str">
        <f>IF(Base_ventas[[#This Row],[Método_pago]]="Efectivo","Efectivo","Electrónico")</f>
        <v>Electrónico</v>
      </c>
      <c r="M183" t="str">
        <f t="shared" si="2"/>
        <v>Venta promedio</v>
      </c>
      <c r="N183" s="22"/>
      <c r="O183" s="22"/>
      <c r="P183" s="22"/>
    </row>
    <row r="184" spans="1:16" x14ac:dyDescent="0.35">
      <c r="A184">
        <v>2757</v>
      </c>
      <c r="B184" t="s">
        <v>229</v>
      </c>
      <c r="C184" s="1">
        <v>45425</v>
      </c>
      <c r="D184" t="s">
        <v>28</v>
      </c>
      <c r="E184" t="s">
        <v>1</v>
      </c>
      <c r="F184" s="6">
        <v>177881</v>
      </c>
      <c r="G184">
        <v>2</v>
      </c>
      <c r="H184" s="6">
        <v>355762</v>
      </c>
      <c r="I184" t="s">
        <v>728</v>
      </c>
      <c r="J184" t="s">
        <v>2</v>
      </c>
      <c r="K184" t="s">
        <v>545</v>
      </c>
      <c r="L184" t="str">
        <f>IF(Base_ventas[[#This Row],[Método_pago]]="Efectivo","Efectivo","Electrónico")</f>
        <v>Efectivo</v>
      </c>
      <c r="M184" t="str">
        <f t="shared" si="2"/>
        <v>Venta promedio</v>
      </c>
      <c r="N184" s="22"/>
      <c r="O184" s="22"/>
      <c r="P184" s="22"/>
    </row>
    <row r="185" spans="1:16" x14ac:dyDescent="0.35">
      <c r="A185">
        <v>6001</v>
      </c>
      <c r="B185" t="s">
        <v>376</v>
      </c>
      <c r="C185" s="1">
        <v>45425</v>
      </c>
      <c r="D185" t="s">
        <v>30</v>
      </c>
      <c r="E185" t="s">
        <v>1</v>
      </c>
      <c r="F185" s="6">
        <v>114971</v>
      </c>
      <c r="G185">
        <v>3</v>
      </c>
      <c r="H185" s="6">
        <v>344913</v>
      </c>
      <c r="I185" t="s">
        <v>729</v>
      </c>
      <c r="J185" t="s">
        <v>1608</v>
      </c>
      <c r="K185" t="s">
        <v>602</v>
      </c>
      <c r="L185" t="str">
        <f>IF(Base_ventas[[#This Row],[Método_pago]]="Efectivo","Efectivo","Electrónico")</f>
        <v>Electrónico</v>
      </c>
      <c r="M185" t="str">
        <f t="shared" si="2"/>
        <v>Venta promedio</v>
      </c>
      <c r="N185" s="22"/>
      <c r="O185" s="22"/>
      <c r="P185" s="22"/>
    </row>
    <row r="186" spans="1:16" x14ac:dyDescent="0.35">
      <c r="A186">
        <v>6095</v>
      </c>
      <c r="B186" t="s">
        <v>156</v>
      </c>
      <c r="C186" s="1">
        <v>45426</v>
      </c>
      <c r="D186" t="s">
        <v>28</v>
      </c>
      <c r="E186" t="s">
        <v>1</v>
      </c>
      <c r="F186" s="6">
        <v>177881</v>
      </c>
      <c r="G186">
        <v>3</v>
      </c>
      <c r="H186" s="6">
        <v>533643</v>
      </c>
      <c r="I186" t="s">
        <v>730</v>
      </c>
      <c r="J186" t="s">
        <v>1608</v>
      </c>
      <c r="K186" t="s">
        <v>545</v>
      </c>
      <c r="L186" t="str">
        <f>IF(Base_ventas[[#This Row],[Método_pago]]="Efectivo","Efectivo","Electrónico")</f>
        <v>Electrónico</v>
      </c>
      <c r="M186" t="str">
        <f t="shared" si="2"/>
        <v>Venta promedio</v>
      </c>
      <c r="N186" s="22"/>
      <c r="O186" s="22"/>
      <c r="P186" s="22"/>
    </row>
    <row r="187" spans="1:16" x14ac:dyDescent="0.35">
      <c r="A187">
        <v>5024</v>
      </c>
      <c r="B187" t="s">
        <v>44</v>
      </c>
      <c r="C187" s="1">
        <v>45426</v>
      </c>
      <c r="D187" t="s">
        <v>30</v>
      </c>
      <c r="E187" t="s">
        <v>1</v>
      </c>
      <c r="F187" s="6">
        <v>114971</v>
      </c>
      <c r="G187">
        <v>2</v>
      </c>
      <c r="H187" s="6">
        <v>229942</v>
      </c>
      <c r="I187" t="s">
        <v>731</v>
      </c>
      <c r="J187" t="s">
        <v>3</v>
      </c>
      <c r="K187" t="s">
        <v>545</v>
      </c>
      <c r="L187" t="str">
        <f>IF(Base_ventas[[#This Row],[Método_pago]]="Efectivo","Efectivo","Electrónico")</f>
        <v>Electrónico</v>
      </c>
      <c r="M187" t="str">
        <f t="shared" si="2"/>
        <v>Venta promedio</v>
      </c>
      <c r="N187" s="22"/>
      <c r="O187" s="22"/>
      <c r="P187" s="22"/>
    </row>
    <row r="188" spans="1:16" x14ac:dyDescent="0.35">
      <c r="A188">
        <v>5871</v>
      </c>
      <c r="B188" t="s">
        <v>271</v>
      </c>
      <c r="C188" s="1">
        <v>45426</v>
      </c>
      <c r="D188" t="s">
        <v>30</v>
      </c>
      <c r="E188" t="s">
        <v>1</v>
      </c>
      <c r="F188" s="6">
        <v>114971</v>
      </c>
      <c r="G188">
        <v>2</v>
      </c>
      <c r="H188" s="6">
        <v>229942</v>
      </c>
      <c r="I188" t="s">
        <v>732</v>
      </c>
      <c r="J188" t="s">
        <v>3</v>
      </c>
      <c r="K188" t="s">
        <v>561</v>
      </c>
      <c r="L188" t="str">
        <f>IF(Base_ventas[[#This Row],[Método_pago]]="Efectivo","Efectivo","Electrónico")</f>
        <v>Electrónico</v>
      </c>
      <c r="M188" t="str">
        <f t="shared" si="2"/>
        <v>Venta promedio</v>
      </c>
      <c r="N188" s="22"/>
      <c r="O188" s="22"/>
      <c r="P188" s="22"/>
    </row>
    <row r="189" spans="1:16" x14ac:dyDescent="0.35">
      <c r="A189">
        <v>2952</v>
      </c>
      <c r="B189" t="s">
        <v>377</v>
      </c>
      <c r="C189" s="1">
        <v>45429</v>
      </c>
      <c r="D189" t="s">
        <v>22</v>
      </c>
      <c r="E189" t="s">
        <v>23</v>
      </c>
      <c r="F189" s="6">
        <v>741722</v>
      </c>
      <c r="G189">
        <v>3</v>
      </c>
      <c r="H189" s="6">
        <v>2225166</v>
      </c>
      <c r="I189" t="s">
        <v>733</v>
      </c>
      <c r="J189" t="s">
        <v>4</v>
      </c>
      <c r="K189" t="s">
        <v>581</v>
      </c>
      <c r="L189" t="str">
        <f>IF(Base_ventas[[#This Row],[Método_pago]]="Efectivo","Efectivo","Electrónico")</f>
        <v>Electrónico</v>
      </c>
      <c r="M189" t="str">
        <f t="shared" si="2"/>
        <v>Best seller</v>
      </c>
      <c r="N189" s="22"/>
      <c r="O189" s="22"/>
      <c r="P189" s="22"/>
    </row>
    <row r="190" spans="1:16" x14ac:dyDescent="0.35">
      <c r="A190">
        <v>5169</v>
      </c>
      <c r="B190" t="s">
        <v>378</v>
      </c>
      <c r="C190" s="1">
        <v>45430</v>
      </c>
      <c r="D190" t="s">
        <v>24</v>
      </c>
      <c r="E190" t="s">
        <v>25</v>
      </c>
      <c r="F190" s="6">
        <v>707995</v>
      </c>
      <c r="G190">
        <v>2</v>
      </c>
      <c r="H190" s="6">
        <v>1415990</v>
      </c>
      <c r="I190" t="s">
        <v>734</v>
      </c>
      <c r="J190" t="s">
        <v>1608</v>
      </c>
      <c r="K190" t="s">
        <v>539</v>
      </c>
      <c r="L190" t="str">
        <f>IF(Base_ventas[[#This Row],[Método_pago]]="Efectivo","Efectivo","Electrónico")</f>
        <v>Electrónico</v>
      </c>
      <c r="M190" t="str">
        <f t="shared" si="2"/>
        <v>Venta promedio</v>
      </c>
      <c r="N190" s="22"/>
      <c r="O190" s="22"/>
      <c r="P190" s="22"/>
    </row>
    <row r="191" spans="1:16" x14ac:dyDescent="0.35">
      <c r="A191">
        <v>3706</v>
      </c>
      <c r="B191" t="s">
        <v>80</v>
      </c>
      <c r="C191" s="1">
        <v>45431</v>
      </c>
      <c r="D191" t="s">
        <v>24</v>
      </c>
      <c r="E191" t="s">
        <v>25</v>
      </c>
      <c r="F191" s="6">
        <v>707995</v>
      </c>
      <c r="G191">
        <v>2</v>
      </c>
      <c r="H191" s="6">
        <v>1415990</v>
      </c>
      <c r="I191" t="s">
        <v>735</v>
      </c>
      <c r="J191" t="s">
        <v>2</v>
      </c>
      <c r="K191" t="s">
        <v>535</v>
      </c>
      <c r="L191" t="str">
        <f>IF(Base_ventas[[#This Row],[Método_pago]]="Efectivo","Efectivo","Electrónico")</f>
        <v>Efectivo</v>
      </c>
      <c r="M191" t="str">
        <f t="shared" si="2"/>
        <v>Venta promedio</v>
      </c>
      <c r="N191" s="22"/>
      <c r="O191" s="22"/>
      <c r="P191" s="22"/>
    </row>
    <row r="192" spans="1:16" x14ac:dyDescent="0.35">
      <c r="A192">
        <v>4054</v>
      </c>
      <c r="B192" t="s">
        <v>69</v>
      </c>
      <c r="C192" s="1">
        <v>45431</v>
      </c>
      <c r="D192" t="s">
        <v>26</v>
      </c>
      <c r="E192" t="s">
        <v>25</v>
      </c>
      <c r="F192" s="6">
        <v>1844533</v>
      </c>
      <c r="G192">
        <v>1</v>
      </c>
      <c r="H192" s="6">
        <v>1844533</v>
      </c>
      <c r="I192" t="s">
        <v>736</v>
      </c>
      <c r="J192" t="s">
        <v>4</v>
      </c>
      <c r="K192" t="s">
        <v>537</v>
      </c>
      <c r="L192" t="str">
        <f>IF(Base_ventas[[#This Row],[Método_pago]]="Efectivo","Efectivo","Electrónico")</f>
        <v>Electrónico</v>
      </c>
      <c r="M192" t="str">
        <f t="shared" si="2"/>
        <v>Venta promedio</v>
      </c>
      <c r="N192" s="22"/>
      <c r="O192" s="22"/>
      <c r="P192" s="22"/>
    </row>
    <row r="193" spans="1:16" x14ac:dyDescent="0.35">
      <c r="A193">
        <v>3574</v>
      </c>
      <c r="B193" t="s">
        <v>218</v>
      </c>
      <c r="C193" s="1">
        <v>45432</v>
      </c>
      <c r="D193" t="s">
        <v>30</v>
      </c>
      <c r="E193" t="s">
        <v>1</v>
      </c>
      <c r="F193" s="6">
        <v>114971</v>
      </c>
      <c r="G193">
        <v>3</v>
      </c>
      <c r="H193" s="6">
        <v>344913</v>
      </c>
      <c r="I193" t="s">
        <v>737</v>
      </c>
      <c r="J193" t="s">
        <v>4</v>
      </c>
      <c r="K193" t="s">
        <v>537</v>
      </c>
      <c r="L193" t="str">
        <f>IF(Base_ventas[[#This Row],[Método_pago]]="Efectivo","Efectivo","Electrónico")</f>
        <v>Electrónico</v>
      </c>
      <c r="M193" t="str">
        <f t="shared" si="2"/>
        <v>Venta promedio</v>
      </c>
      <c r="N193" s="22"/>
      <c r="O193" s="22"/>
      <c r="P193" s="22"/>
    </row>
    <row r="194" spans="1:16" x14ac:dyDescent="0.35">
      <c r="A194">
        <v>5874</v>
      </c>
      <c r="B194" t="s">
        <v>261</v>
      </c>
      <c r="C194" s="1">
        <v>45433</v>
      </c>
      <c r="D194" t="s">
        <v>30</v>
      </c>
      <c r="E194" t="s">
        <v>1</v>
      </c>
      <c r="F194" s="6">
        <v>114971</v>
      </c>
      <c r="G194">
        <v>3</v>
      </c>
      <c r="H194" s="6">
        <v>344913</v>
      </c>
      <c r="I194" t="s">
        <v>738</v>
      </c>
      <c r="J194" t="s">
        <v>3</v>
      </c>
      <c r="K194" t="s">
        <v>579</v>
      </c>
      <c r="L194" t="str">
        <f>IF(Base_ventas[[#This Row],[Método_pago]]="Efectivo","Efectivo","Electrónico")</f>
        <v>Electrónico</v>
      </c>
      <c r="M194" t="str">
        <f t="shared" si="2"/>
        <v>Venta promedio</v>
      </c>
      <c r="N194" s="22"/>
      <c r="O194" s="22"/>
      <c r="P194" s="22"/>
    </row>
    <row r="195" spans="1:16" x14ac:dyDescent="0.35">
      <c r="A195">
        <v>9625</v>
      </c>
      <c r="B195" t="s">
        <v>131</v>
      </c>
      <c r="C195" s="1">
        <v>45433</v>
      </c>
      <c r="D195" t="s">
        <v>30</v>
      </c>
      <c r="E195" t="s">
        <v>1</v>
      </c>
      <c r="F195" s="6">
        <v>114971</v>
      </c>
      <c r="G195">
        <v>3</v>
      </c>
      <c r="H195" s="6">
        <v>344913</v>
      </c>
      <c r="I195" t="s">
        <v>739</v>
      </c>
      <c r="J195" t="s">
        <v>3</v>
      </c>
      <c r="K195" t="s">
        <v>547</v>
      </c>
      <c r="L195" t="str">
        <f>IF(Base_ventas[[#This Row],[Método_pago]]="Efectivo","Efectivo","Electrónico")</f>
        <v>Electrónico</v>
      </c>
      <c r="M195" t="str">
        <f t="shared" si="2"/>
        <v>Venta promedio</v>
      </c>
      <c r="N195" s="22"/>
      <c r="O195" s="22"/>
      <c r="P195" s="22"/>
    </row>
    <row r="196" spans="1:16" x14ac:dyDescent="0.35">
      <c r="A196">
        <v>3066</v>
      </c>
      <c r="B196" t="s">
        <v>282</v>
      </c>
      <c r="C196" s="1">
        <v>45434</v>
      </c>
      <c r="D196" t="s">
        <v>28</v>
      </c>
      <c r="E196" t="s">
        <v>1</v>
      </c>
      <c r="F196" s="6">
        <v>177881</v>
      </c>
      <c r="G196">
        <v>2</v>
      </c>
      <c r="H196" s="6">
        <v>355762</v>
      </c>
      <c r="I196" t="s">
        <v>740</v>
      </c>
      <c r="J196" t="s">
        <v>4</v>
      </c>
      <c r="K196" t="s">
        <v>561</v>
      </c>
      <c r="L196" t="str">
        <f>IF(Base_ventas[[#This Row],[Método_pago]]="Efectivo","Efectivo","Electrónico")</f>
        <v>Electrónico</v>
      </c>
      <c r="M196" t="str">
        <f t="shared" ref="M196:M259" si="3">IF(AND(G196&gt;2,H196&gt;=1000000),"Best seller","Venta promedio")</f>
        <v>Venta promedio</v>
      </c>
      <c r="N196" s="22"/>
      <c r="O196" s="22"/>
      <c r="P196" s="22"/>
    </row>
    <row r="197" spans="1:16" x14ac:dyDescent="0.35">
      <c r="A197">
        <v>3565</v>
      </c>
      <c r="B197" t="s">
        <v>67</v>
      </c>
      <c r="C197" s="1">
        <v>45434</v>
      </c>
      <c r="D197" t="s">
        <v>24</v>
      </c>
      <c r="E197" t="s">
        <v>25</v>
      </c>
      <c r="F197" s="6">
        <v>707995</v>
      </c>
      <c r="G197">
        <v>3</v>
      </c>
      <c r="H197" s="6">
        <v>2123985</v>
      </c>
      <c r="I197" t="s">
        <v>741</v>
      </c>
      <c r="J197" t="s">
        <v>3</v>
      </c>
      <c r="K197" t="s">
        <v>571</v>
      </c>
      <c r="L197" t="str">
        <f>IF(Base_ventas[[#This Row],[Método_pago]]="Efectivo","Efectivo","Electrónico")</f>
        <v>Electrónico</v>
      </c>
      <c r="M197" t="str">
        <f t="shared" si="3"/>
        <v>Best seller</v>
      </c>
      <c r="N197" s="22"/>
      <c r="O197" s="22"/>
      <c r="P197" s="22"/>
    </row>
    <row r="198" spans="1:16" x14ac:dyDescent="0.35">
      <c r="A198">
        <v>8456</v>
      </c>
      <c r="B198" t="s">
        <v>379</v>
      </c>
      <c r="C198" s="1">
        <v>45435</v>
      </c>
      <c r="D198" t="s">
        <v>26</v>
      </c>
      <c r="E198" t="s">
        <v>25</v>
      </c>
      <c r="F198" s="6">
        <v>1844533</v>
      </c>
      <c r="G198">
        <v>3</v>
      </c>
      <c r="H198" s="6">
        <v>5533599</v>
      </c>
      <c r="I198" t="s">
        <v>742</v>
      </c>
      <c r="J198" t="s">
        <v>2</v>
      </c>
      <c r="K198" t="s">
        <v>541</v>
      </c>
      <c r="L198" t="str">
        <f>IF(Base_ventas[[#This Row],[Método_pago]]="Efectivo","Efectivo","Electrónico")</f>
        <v>Efectivo</v>
      </c>
      <c r="M198" t="str">
        <f t="shared" si="3"/>
        <v>Best seller</v>
      </c>
      <c r="N198" s="22"/>
      <c r="O198" s="22"/>
      <c r="P198" s="22"/>
    </row>
    <row r="199" spans="1:16" x14ac:dyDescent="0.35">
      <c r="A199">
        <v>9797</v>
      </c>
      <c r="B199" t="s">
        <v>380</v>
      </c>
      <c r="C199" s="1">
        <v>45435</v>
      </c>
      <c r="D199" t="s">
        <v>22</v>
      </c>
      <c r="E199" t="s">
        <v>23</v>
      </c>
      <c r="F199" s="6">
        <v>741722</v>
      </c>
      <c r="G199">
        <v>3</v>
      </c>
      <c r="H199" s="6">
        <v>2225166</v>
      </c>
      <c r="I199" t="s">
        <v>743</v>
      </c>
      <c r="J199" t="s">
        <v>1608</v>
      </c>
      <c r="K199" t="s">
        <v>543</v>
      </c>
      <c r="L199" t="str">
        <f>IF(Base_ventas[[#This Row],[Método_pago]]="Efectivo","Efectivo","Electrónico")</f>
        <v>Electrónico</v>
      </c>
      <c r="M199" t="str">
        <f t="shared" si="3"/>
        <v>Best seller</v>
      </c>
      <c r="N199" s="22"/>
      <c r="O199" s="22"/>
      <c r="P199" s="22"/>
    </row>
    <row r="200" spans="1:16" x14ac:dyDescent="0.35">
      <c r="A200">
        <v>4301</v>
      </c>
      <c r="B200" t="s">
        <v>381</v>
      </c>
      <c r="C200" s="1">
        <v>45436</v>
      </c>
      <c r="D200" t="s">
        <v>26</v>
      </c>
      <c r="E200" t="s">
        <v>25</v>
      </c>
      <c r="F200" s="6">
        <v>1844533</v>
      </c>
      <c r="G200">
        <v>3</v>
      </c>
      <c r="H200" s="6">
        <v>5533599</v>
      </c>
      <c r="I200" t="s">
        <v>744</v>
      </c>
      <c r="J200" t="s">
        <v>4</v>
      </c>
      <c r="K200" t="s">
        <v>602</v>
      </c>
      <c r="L200" t="str">
        <f>IF(Base_ventas[[#This Row],[Método_pago]]="Efectivo","Efectivo","Electrónico")</f>
        <v>Electrónico</v>
      </c>
      <c r="M200" t="str">
        <f t="shared" si="3"/>
        <v>Best seller</v>
      </c>
      <c r="N200" s="22"/>
      <c r="O200" s="22"/>
      <c r="P200" s="22"/>
    </row>
    <row r="201" spans="1:16" x14ac:dyDescent="0.35">
      <c r="A201">
        <v>5054</v>
      </c>
      <c r="B201" t="s">
        <v>382</v>
      </c>
      <c r="C201" s="1">
        <v>45437</v>
      </c>
      <c r="D201" t="s">
        <v>22</v>
      </c>
      <c r="E201" t="s">
        <v>23</v>
      </c>
      <c r="F201" s="6">
        <v>741722</v>
      </c>
      <c r="G201">
        <v>1</v>
      </c>
      <c r="H201" s="6">
        <v>741722</v>
      </c>
      <c r="I201" t="s">
        <v>745</v>
      </c>
      <c r="J201" t="s">
        <v>4</v>
      </c>
      <c r="K201" t="s">
        <v>543</v>
      </c>
      <c r="L201" t="str">
        <f>IF(Base_ventas[[#This Row],[Método_pago]]="Efectivo","Efectivo","Electrónico")</f>
        <v>Electrónico</v>
      </c>
      <c r="M201" t="str">
        <f t="shared" si="3"/>
        <v>Venta promedio</v>
      </c>
      <c r="N201" s="22"/>
      <c r="O201" s="22"/>
      <c r="P201" s="22"/>
    </row>
    <row r="202" spans="1:16" x14ac:dyDescent="0.35">
      <c r="A202">
        <v>3266</v>
      </c>
      <c r="B202" t="s">
        <v>128</v>
      </c>
      <c r="C202" s="1">
        <v>45438</v>
      </c>
      <c r="D202" t="s">
        <v>28</v>
      </c>
      <c r="E202" t="s">
        <v>1</v>
      </c>
      <c r="F202" s="6">
        <v>177881</v>
      </c>
      <c r="G202">
        <v>1</v>
      </c>
      <c r="H202" s="6">
        <v>177881</v>
      </c>
      <c r="I202" t="s">
        <v>746</v>
      </c>
      <c r="J202" t="s">
        <v>2</v>
      </c>
      <c r="K202" t="s">
        <v>622</v>
      </c>
      <c r="L202" t="str">
        <f>IF(Base_ventas[[#This Row],[Método_pago]]="Efectivo","Efectivo","Electrónico")</f>
        <v>Efectivo</v>
      </c>
      <c r="M202" t="str">
        <f t="shared" si="3"/>
        <v>Venta promedio</v>
      </c>
      <c r="N202" s="22"/>
      <c r="O202" s="22"/>
      <c r="P202" s="22"/>
    </row>
    <row r="203" spans="1:16" x14ac:dyDescent="0.35">
      <c r="A203">
        <v>4372</v>
      </c>
      <c r="B203" t="s">
        <v>383</v>
      </c>
      <c r="C203" s="1">
        <v>45438</v>
      </c>
      <c r="D203" t="s">
        <v>24</v>
      </c>
      <c r="E203" t="s">
        <v>25</v>
      </c>
      <c r="F203" s="6">
        <v>707995</v>
      </c>
      <c r="G203">
        <v>2</v>
      </c>
      <c r="H203" s="6">
        <v>1415990</v>
      </c>
      <c r="I203" t="s">
        <v>747</v>
      </c>
      <c r="J203" t="s">
        <v>1608</v>
      </c>
      <c r="K203" t="s">
        <v>543</v>
      </c>
      <c r="L203" t="str">
        <f>IF(Base_ventas[[#This Row],[Método_pago]]="Efectivo","Efectivo","Electrónico")</f>
        <v>Electrónico</v>
      </c>
      <c r="M203" t="str">
        <f t="shared" si="3"/>
        <v>Venta promedio</v>
      </c>
      <c r="N203" s="22"/>
      <c r="O203" s="22"/>
      <c r="P203" s="22"/>
    </row>
    <row r="204" spans="1:16" x14ac:dyDescent="0.35">
      <c r="A204">
        <v>7646</v>
      </c>
      <c r="B204" t="s">
        <v>384</v>
      </c>
      <c r="C204" s="1">
        <v>45439</v>
      </c>
      <c r="D204" t="s">
        <v>30</v>
      </c>
      <c r="E204" t="s">
        <v>1</v>
      </c>
      <c r="F204" s="6">
        <v>114971</v>
      </c>
      <c r="G204">
        <v>3</v>
      </c>
      <c r="H204" s="6">
        <v>344913</v>
      </c>
      <c r="I204" t="s">
        <v>748</v>
      </c>
      <c r="J204" t="s">
        <v>4</v>
      </c>
      <c r="K204" t="s">
        <v>571</v>
      </c>
      <c r="L204" t="str">
        <f>IF(Base_ventas[[#This Row],[Método_pago]]="Efectivo","Efectivo","Electrónico")</f>
        <v>Electrónico</v>
      </c>
      <c r="M204" t="str">
        <f t="shared" si="3"/>
        <v>Venta promedio</v>
      </c>
      <c r="N204" s="22"/>
      <c r="O204" s="22"/>
      <c r="P204" s="22"/>
    </row>
    <row r="205" spans="1:16" x14ac:dyDescent="0.35">
      <c r="A205">
        <v>7313</v>
      </c>
      <c r="B205" t="s">
        <v>239</v>
      </c>
      <c r="C205" s="1">
        <v>45439</v>
      </c>
      <c r="D205" t="s">
        <v>26</v>
      </c>
      <c r="E205" t="s">
        <v>25</v>
      </c>
      <c r="F205" s="6">
        <v>1844533</v>
      </c>
      <c r="G205">
        <v>2</v>
      </c>
      <c r="H205" s="6">
        <v>3689066</v>
      </c>
      <c r="I205" t="s">
        <v>749</v>
      </c>
      <c r="J205" t="s">
        <v>1608</v>
      </c>
      <c r="K205" t="s">
        <v>602</v>
      </c>
      <c r="L205" t="str">
        <f>IF(Base_ventas[[#This Row],[Método_pago]]="Efectivo","Efectivo","Electrónico")</f>
        <v>Electrónico</v>
      </c>
      <c r="M205" t="str">
        <f t="shared" si="3"/>
        <v>Venta promedio</v>
      </c>
      <c r="N205" s="22"/>
      <c r="O205" s="22"/>
      <c r="P205" s="22"/>
    </row>
    <row r="206" spans="1:16" x14ac:dyDescent="0.35">
      <c r="A206">
        <v>9375</v>
      </c>
      <c r="B206" t="s">
        <v>136</v>
      </c>
      <c r="C206" s="1">
        <v>45440</v>
      </c>
      <c r="D206" t="s">
        <v>28</v>
      </c>
      <c r="E206" t="s">
        <v>1</v>
      </c>
      <c r="F206" s="6">
        <v>177881</v>
      </c>
      <c r="G206">
        <v>2</v>
      </c>
      <c r="H206" s="6">
        <v>355762</v>
      </c>
      <c r="I206" t="s">
        <v>750</v>
      </c>
      <c r="J206" t="s">
        <v>4</v>
      </c>
      <c r="K206" t="s">
        <v>581</v>
      </c>
      <c r="L206" t="str">
        <f>IF(Base_ventas[[#This Row],[Método_pago]]="Efectivo","Efectivo","Electrónico")</f>
        <v>Electrónico</v>
      </c>
      <c r="M206" t="str">
        <f t="shared" si="3"/>
        <v>Venta promedio</v>
      </c>
      <c r="N206" s="22"/>
      <c r="O206" s="22"/>
      <c r="P206" s="22"/>
    </row>
    <row r="207" spans="1:16" x14ac:dyDescent="0.35">
      <c r="A207">
        <v>3044</v>
      </c>
      <c r="B207" t="s">
        <v>226</v>
      </c>
      <c r="C207" s="1">
        <v>45442</v>
      </c>
      <c r="D207" t="s">
        <v>26</v>
      </c>
      <c r="E207" t="s">
        <v>25</v>
      </c>
      <c r="F207" s="6">
        <v>1844533</v>
      </c>
      <c r="G207">
        <v>1</v>
      </c>
      <c r="H207" s="6">
        <v>1844533</v>
      </c>
      <c r="I207" t="s">
        <v>751</v>
      </c>
      <c r="J207" t="s">
        <v>3</v>
      </c>
      <c r="K207" t="s">
        <v>545</v>
      </c>
      <c r="L207" t="str">
        <f>IF(Base_ventas[[#This Row],[Método_pago]]="Efectivo","Efectivo","Electrónico")</f>
        <v>Electrónico</v>
      </c>
      <c r="M207" t="str">
        <f t="shared" si="3"/>
        <v>Venta promedio</v>
      </c>
      <c r="N207" s="22"/>
      <c r="O207" s="22"/>
      <c r="P207" s="22"/>
    </row>
    <row r="208" spans="1:16" x14ac:dyDescent="0.35">
      <c r="A208">
        <v>2299</v>
      </c>
      <c r="B208" t="s">
        <v>385</v>
      </c>
      <c r="C208" s="1">
        <v>45443</v>
      </c>
      <c r="D208" t="s">
        <v>30</v>
      </c>
      <c r="E208" t="s">
        <v>1</v>
      </c>
      <c r="F208" s="6">
        <v>114971</v>
      </c>
      <c r="G208">
        <v>2</v>
      </c>
      <c r="H208" s="6">
        <v>229942</v>
      </c>
      <c r="I208" t="s">
        <v>752</v>
      </c>
      <c r="J208" t="s">
        <v>4</v>
      </c>
      <c r="K208" t="s">
        <v>543</v>
      </c>
      <c r="L208" t="str">
        <f>IF(Base_ventas[[#This Row],[Método_pago]]="Efectivo","Efectivo","Electrónico")</f>
        <v>Electrónico</v>
      </c>
      <c r="M208" t="str">
        <f t="shared" si="3"/>
        <v>Venta promedio</v>
      </c>
      <c r="N208" s="22"/>
      <c r="O208" s="22"/>
      <c r="P208" s="22"/>
    </row>
    <row r="209" spans="1:16" x14ac:dyDescent="0.35">
      <c r="A209">
        <v>1950</v>
      </c>
      <c r="B209" t="s">
        <v>386</v>
      </c>
      <c r="C209" s="1">
        <v>45444</v>
      </c>
      <c r="D209" t="s">
        <v>28</v>
      </c>
      <c r="E209" t="s">
        <v>1</v>
      </c>
      <c r="F209" s="6">
        <v>177881</v>
      </c>
      <c r="G209">
        <v>3</v>
      </c>
      <c r="H209" s="6">
        <v>533643</v>
      </c>
      <c r="I209" t="s">
        <v>753</v>
      </c>
      <c r="J209" t="s">
        <v>4</v>
      </c>
      <c r="K209" t="s">
        <v>537</v>
      </c>
      <c r="L209" t="str">
        <f>IF(Base_ventas[[#This Row],[Método_pago]]="Efectivo","Efectivo","Electrónico")</f>
        <v>Electrónico</v>
      </c>
      <c r="M209" t="str">
        <f t="shared" si="3"/>
        <v>Venta promedio</v>
      </c>
      <c r="N209" s="22"/>
      <c r="O209" s="22"/>
      <c r="P209" s="22"/>
    </row>
    <row r="210" spans="1:16" x14ac:dyDescent="0.35">
      <c r="A210">
        <v>5033</v>
      </c>
      <c r="B210" t="s">
        <v>93</v>
      </c>
      <c r="C210" s="1">
        <v>45445</v>
      </c>
      <c r="D210" t="s">
        <v>28</v>
      </c>
      <c r="E210" t="s">
        <v>1</v>
      </c>
      <c r="F210" s="6">
        <v>177881</v>
      </c>
      <c r="G210">
        <v>2</v>
      </c>
      <c r="H210" s="6">
        <v>355762</v>
      </c>
      <c r="I210" t="s">
        <v>754</v>
      </c>
      <c r="J210" t="s">
        <v>2</v>
      </c>
      <c r="K210" t="s">
        <v>622</v>
      </c>
      <c r="L210" t="str">
        <f>IF(Base_ventas[[#This Row],[Método_pago]]="Efectivo","Efectivo","Electrónico")</f>
        <v>Efectivo</v>
      </c>
      <c r="M210" t="str">
        <f t="shared" si="3"/>
        <v>Venta promedio</v>
      </c>
      <c r="N210" s="22"/>
      <c r="O210" s="22"/>
      <c r="P210" s="22"/>
    </row>
    <row r="211" spans="1:16" x14ac:dyDescent="0.35">
      <c r="A211">
        <v>1945</v>
      </c>
      <c r="B211" t="s">
        <v>232</v>
      </c>
      <c r="C211" s="1">
        <v>45446</v>
      </c>
      <c r="D211" t="s">
        <v>26</v>
      </c>
      <c r="E211" t="s">
        <v>25</v>
      </c>
      <c r="F211" s="6">
        <v>1844533</v>
      </c>
      <c r="G211">
        <v>2</v>
      </c>
      <c r="H211" s="6">
        <v>3689066</v>
      </c>
      <c r="I211" t="s">
        <v>755</v>
      </c>
      <c r="J211" t="s">
        <v>4</v>
      </c>
      <c r="K211" t="s">
        <v>581</v>
      </c>
      <c r="L211" t="str">
        <f>IF(Base_ventas[[#This Row],[Método_pago]]="Efectivo","Efectivo","Electrónico")</f>
        <v>Electrónico</v>
      </c>
      <c r="M211" t="str">
        <f t="shared" si="3"/>
        <v>Venta promedio</v>
      </c>
      <c r="N211" s="22"/>
      <c r="O211" s="22"/>
      <c r="P211" s="22"/>
    </row>
    <row r="212" spans="1:16" x14ac:dyDescent="0.35">
      <c r="A212">
        <v>8070</v>
      </c>
      <c r="B212" t="s">
        <v>387</v>
      </c>
      <c r="C212" s="1">
        <v>45447</v>
      </c>
      <c r="D212" t="s">
        <v>30</v>
      </c>
      <c r="E212" t="s">
        <v>1</v>
      </c>
      <c r="F212" s="6">
        <v>114971</v>
      </c>
      <c r="G212">
        <v>2</v>
      </c>
      <c r="H212" s="6">
        <v>229942</v>
      </c>
      <c r="I212" t="s">
        <v>756</v>
      </c>
      <c r="J212" t="s">
        <v>1608</v>
      </c>
      <c r="K212" t="s">
        <v>541</v>
      </c>
      <c r="L212" t="str">
        <f>IF(Base_ventas[[#This Row],[Método_pago]]="Efectivo","Efectivo","Electrónico")</f>
        <v>Electrónico</v>
      </c>
      <c r="M212" t="str">
        <f t="shared" si="3"/>
        <v>Venta promedio</v>
      </c>
      <c r="N212" s="22"/>
      <c r="O212" s="22"/>
      <c r="P212" s="22"/>
    </row>
    <row r="213" spans="1:16" x14ac:dyDescent="0.35">
      <c r="A213">
        <v>6561</v>
      </c>
      <c r="B213" t="s">
        <v>388</v>
      </c>
      <c r="C213" s="1">
        <v>45447</v>
      </c>
      <c r="D213" t="s">
        <v>28</v>
      </c>
      <c r="E213" t="s">
        <v>1</v>
      </c>
      <c r="F213" s="6">
        <v>177881</v>
      </c>
      <c r="G213">
        <v>1</v>
      </c>
      <c r="H213" s="6">
        <v>177881</v>
      </c>
      <c r="I213" t="s">
        <v>757</v>
      </c>
      <c r="J213" t="s">
        <v>2</v>
      </c>
      <c r="K213" t="s">
        <v>545</v>
      </c>
      <c r="L213" t="str">
        <f>IF(Base_ventas[[#This Row],[Método_pago]]="Efectivo","Efectivo","Electrónico")</f>
        <v>Efectivo</v>
      </c>
      <c r="M213" t="str">
        <f t="shared" si="3"/>
        <v>Venta promedio</v>
      </c>
      <c r="N213" s="22"/>
      <c r="O213" s="22"/>
      <c r="P213" s="22"/>
    </row>
    <row r="214" spans="1:16" x14ac:dyDescent="0.35">
      <c r="A214">
        <v>9417</v>
      </c>
      <c r="B214" t="s">
        <v>389</v>
      </c>
      <c r="C214" s="1">
        <v>45447</v>
      </c>
      <c r="D214" t="s">
        <v>24</v>
      </c>
      <c r="E214" t="s">
        <v>25</v>
      </c>
      <c r="F214" s="6">
        <v>707995</v>
      </c>
      <c r="G214">
        <v>2</v>
      </c>
      <c r="H214" s="6">
        <v>1415990</v>
      </c>
      <c r="I214" t="s">
        <v>758</v>
      </c>
      <c r="J214" t="s">
        <v>3</v>
      </c>
      <c r="K214" t="s">
        <v>571</v>
      </c>
      <c r="L214" t="str">
        <f>IF(Base_ventas[[#This Row],[Método_pago]]="Efectivo","Efectivo","Electrónico")</f>
        <v>Electrónico</v>
      </c>
      <c r="M214" t="str">
        <f t="shared" si="3"/>
        <v>Venta promedio</v>
      </c>
      <c r="N214" s="22"/>
      <c r="O214" s="22"/>
      <c r="P214" s="22"/>
    </row>
    <row r="215" spans="1:16" x14ac:dyDescent="0.35">
      <c r="A215">
        <v>5395</v>
      </c>
      <c r="B215" t="s">
        <v>390</v>
      </c>
      <c r="C215" s="1">
        <v>45448</v>
      </c>
      <c r="D215" t="s">
        <v>22</v>
      </c>
      <c r="E215" t="s">
        <v>23</v>
      </c>
      <c r="F215" s="6">
        <v>741722</v>
      </c>
      <c r="G215">
        <v>2</v>
      </c>
      <c r="H215" s="6">
        <v>1483444</v>
      </c>
      <c r="I215" t="s">
        <v>759</v>
      </c>
      <c r="J215" t="s">
        <v>1608</v>
      </c>
      <c r="K215" t="s">
        <v>537</v>
      </c>
      <c r="L215" t="str">
        <f>IF(Base_ventas[[#This Row],[Método_pago]]="Efectivo","Efectivo","Electrónico")</f>
        <v>Electrónico</v>
      </c>
      <c r="M215" t="str">
        <f t="shared" si="3"/>
        <v>Venta promedio</v>
      </c>
      <c r="N215" s="22"/>
      <c r="O215" s="22"/>
      <c r="P215" s="22"/>
    </row>
    <row r="216" spans="1:16" x14ac:dyDescent="0.35">
      <c r="A216">
        <v>6357</v>
      </c>
      <c r="B216" t="s">
        <v>245</v>
      </c>
      <c r="C216" s="1">
        <v>45448</v>
      </c>
      <c r="D216" t="s">
        <v>26</v>
      </c>
      <c r="E216" t="s">
        <v>25</v>
      </c>
      <c r="F216" s="6">
        <v>1844533</v>
      </c>
      <c r="G216">
        <v>1</v>
      </c>
      <c r="H216" s="6">
        <v>1844533</v>
      </c>
      <c r="I216" t="s">
        <v>760</v>
      </c>
      <c r="J216" t="s">
        <v>3</v>
      </c>
      <c r="K216" t="s">
        <v>545</v>
      </c>
      <c r="L216" t="str">
        <f>IF(Base_ventas[[#This Row],[Método_pago]]="Efectivo","Efectivo","Electrónico")</f>
        <v>Electrónico</v>
      </c>
      <c r="M216" t="str">
        <f t="shared" si="3"/>
        <v>Venta promedio</v>
      </c>
      <c r="N216" s="22"/>
      <c r="O216" s="22"/>
      <c r="P216" s="22"/>
    </row>
    <row r="217" spans="1:16" x14ac:dyDescent="0.35">
      <c r="A217">
        <v>2522</v>
      </c>
      <c r="B217" t="s">
        <v>281</v>
      </c>
      <c r="C217" s="1">
        <v>45449</v>
      </c>
      <c r="D217" t="s">
        <v>26</v>
      </c>
      <c r="E217" t="s">
        <v>25</v>
      </c>
      <c r="F217" s="6">
        <v>1844533</v>
      </c>
      <c r="G217">
        <v>3</v>
      </c>
      <c r="H217" s="6">
        <v>5533599</v>
      </c>
      <c r="I217" t="s">
        <v>761</v>
      </c>
      <c r="J217" t="s">
        <v>2</v>
      </c>
      <c r="K217" t="s">
        <v>571</v>
      </c>
      <c r="L217" t="str">
        <f>IF(Base_ventas[[#This Row],[Método_pago]]="Efectivo","Efectivo","Electrónico")</f>
        <v>Efectivo</v>
      </c>
      <c r="M217" t="str">
        <f t="shared" si="3"/>
        <v>Best seller</v>
      </c>
      <c r="N217" s="22"/>
      <c r="O217" s="22"/>
      <c r="P217" s="22"/>
    </row>
    <row r="218" spans="1:16" x14ac:dyDescent="0.35">
      <c r="A218">
        <v>3523</v>
      </c>
      <c r="B218" t="s">
        <v>195</v>
      </c>
      <c r="C218" s="1">
        <v>45450</v>
      </c>
      <c r="D218" t="s">
        <v>24</v>
      </c>
      <c r="E218" t="s">
        <v>25</v>
      </c>
      <c r="F218" s="6">
        <v>707995</v>
      </c>
      <c r="G218">
        <v>1</v>
      </c>
      <c r="H218" s="6">
        <v>707995</v>
      </c>
      <c r="I218" t="s">
        <v>762</v>
      </c>
      <c r="J218" t="s">
        <v>2</v>
      </c>
      <c r="K218" t="s">
        <v>602</v>
      </c>
      <c r="L218" t="str">
        <f>IF(Base_ventas[[#This Row],[Método_pago]]="Efectivo","Efectivo","Electrónico")</f>
        <v>Efectivo</v>
      </c>
      <c r="M218" t="str">
        <f t="shared" si="3"/>
        <v>Venta promedio</v>
      </c>
      <c r="N218" s="22"/>
      <c r="O218" s="22"/>
      <c r="P218" s="22"/>
    </row>
    <row r="219" spans="1:16" x14ac:dyDescent="0.35">
      <c r="A219">
        <v>3085</v>
      </c>
      <c r="B219" t="s">
        <v>110</v>
      </c>
      <c r="C219" s="1">
        <v>45450</v>
      </c>
      <c r="D219" t="s">
        <v>26</v>
      </c>
      <c r="E219" t="s">
        <v>25</v>
      </c>
      <c r="F219" s="6">
        <v>1844533</v>
      </c>
      <c r="G219">
        <v>2</v>
      </c>
      <c r="H219" s="6">
        <v>3689066</v>
      </c>
      <c r="I219" t="s">
        <v>763</v>
      </c>
      <c r="J219" t="s">
        <v>2</v>
      </c>
      <c r="K219" t="s">
        <v>533</v>
      </c>
      <c r="L219" t="str">
        <f>IF(Base_ventas[[#This Row],[Método_pago]]="Efectivo","Efectivo","Electrónico")</f>
        <v>Efectivo</v>
      </c>
      <c r="M219" t="str">
        <f t="shared" si="3"/>
        <v>Venta promedio</v>
      </c>
      <c r="N219" s="22"/>
      <c r="O219" s="22"/>
      <c r="P219" s="22"/>
    </row>
    <row r="220" spans="1:16" x14ac:dyDescent="0.35">
      <c r="A220">
        <v>5347</v>
      </c>
      <c r="B220" t="s">
        <v>391</v>
      </c>
      <c r="C220" s="1">
        <v>45451</v>
      </c>
      <c r="D220" t="s">
        <v>22</v>
      </c>
      <c r="E220" t="s">
        <v>23</v>
      </c>
      <c r="F220" s="6">
        <v>741722</v>
      </c>
      <c r="G220">
        <v>2</v>
      </c>
      <c r="H220" s="6">
        <v>1483444</v>
      </c>
      <c r="I220" t="s">
        <v>764</v>
      </c>
      <c r="J220" t="s">
        <v>3</v>
      </c>
      <c r="K220" t="s">
        <v>571</v>
      </c>
      <c r="L220" t="str">
        <f>IF(Base_ventas[[#This Row],[Método_pago]]="Efectivo","Efectivo","Electrónico")</f>
        <v>Electrónico</v>
      </c>
      <c r="M220" t="str">
        <f t="shared" si="3"/>
        <v>Venta promedio</v>
      </c>
      <c r="N220" s="22"/>
      <c r="O220" s="22"/>
      <c r="P220" s="22"/>
    </row>
    <row r="221" spans="1:16" x14ac:dyDescent="0.35">
      <c r="A221">
        <v>1266</v>
      </c>
      <c r="B221" t="s">
        <v>392</v>
      </c>
      <c r="C221" s="1">
        <v>45452</v>
      </c>
      <c r="D221" t="s">
        <v>26</v>
      </c>
      <c r="E221" t="s">
        <v>25</v>
      </c>
      <c r="F221" s="6">
        <v>1844533</v>
      </c>
      <c r="G221">
        <v>3</v>
      </c>
      <c r="H221" s="6">
        <v>5533599</v>
      </c>
      <c r="I221" t="s">
        <v>765</v>
      </c>
      <c r="J221" t="s">
        <v>4</v>
      </c>
      <c r="K221" t="s">
        <v>579</v>
      </c>
      <c r="L221" t="str">
        <f>IF(Base_ventas[[#This Row],[Método_pago]]="Efectivo","Efectivo","Electrónico")</f>
        <v>Electrónico</v>
      </c>
      <c r="M221" t="str">
        <f t="shared" si="3"/>
        <v>Best seller</v>
      </c>
      <c r="N221" s="22"/>
      <c r="O221" s="22"/>
      <c r="P221" s="22"/>
    </row>
    <row r="222" spans="1:16" x14ac:dyDescent="0.35">
      <c r="A222">
        <v>8631</v>
      </c>
      <c r="B222" t="s">
        <v>393</v>
      </c>
      <c r="C222" s="1">
        <v>45452</v>
      </c>
      <c r="D222" t="s">
        <v>26</v>
      </c>
      <c r="E222" t="s">
        <v>25</v>
      </c>
      <c r="F222" s="6">
        <v>1844533</v>
      </c>
      <c r="G222">
        <v>1</v>
      </c>
      <c r="H222" s="6">
        <v>1844533</v>
      </c>
      <c r="I222" t="s">
        <v>766</v>
      </c>
      <c r="J222" t="s">
        <v>3</v>
      </c>
      <c r="K222" t="s">
        <v>581</v>
      </c>
      <c r="L222" t="str">
        <f>IF(Base_ventas[[#This Row],[Método_pago]]="Efectivo","Efectivo","Electrónico")</f>
        <v>Electrónico</v>
      </c>
      <c r="M222" t="str">
        <f t="shared" si="3"/>
        <v>Venta promedio</v>
      </c>
      <c r="N222" s="22"/>
      <c r="O222" s="22"/>
      <c r="P222" s="22"/>
    </row>
    <row r="223" spans="1:16" x14ac:dyDescent="0.35">
      <c r="A223">
        <v>3301</v>
      </c>
      <c r="B223" t="s">
        <v>149</v>
      </c>
      <c r="C223" s="1">
        <v>45453</v>
      </c>
      <c r="D223" t="s">
        <v>26</v>
      </c>
      <c r="E223" t="s">
        <v>25</v>
      </c>
      <c r="F223" s="6">
        <v>1844533</v>
      </c>
      <c r="G223">
        <v>2</v>
      </c>
      <c r="H223" s="6">
        <v>3689066</v>
      </c>
      <c r="I223" t="s">
        <v>767</v>
      </c>
      <c r="J223" t="s">
        <v>3</v>
      </c>
      <c r="K223" t="s">
        <v>579</v>
      </c>
      <c r="L223" t="str">
        <f>IF(Base_ventas[[#This Row],[Método_pago]]="Efectivo","Efectivo","Electrónico")</f>
        <v>Electrónico</v>
      </c>
      <c r="M223" t="str">
        <f t="shared" si="3"/>
        <v>Venta promedio</v>
      </c>
      <c r="N223" s="22"/>
      <c r="O223" s="22"/>
      <c r="P223" s="22"/>
    </row>
    <row r="224" spans="1:16" x14ac:dyDescent="0.35">
      <c r="A224">
        <v>4199</v>
      </c>
      <c r="B224" t="s">
        <v>41</v>
      </c>
      <c r="C224" s="1">
        <v>45453</v>
      </c>
      <c r="D224" t="s">
        <v>28</v>
      </c>
      <c r="E224" t="s">
        <v>1</v>
      </c>
      <c r="F224" s="6">
        <v>177881</v>
      </c>
      <c r="G224">
        <v>1</v>
      </c>
      <c r="H224" s="6">
        <v>177881</v>
      </c>
      <c r="I224" t="s">
        <v>768</v>
      </c>
      <c r="J224" t="s">
        <v>2</v>
      </c>
      <c r="K224" t="s">
        <v>581</v>
      </c>
      <c r="L224" t="str">
        <f>IF(Base_ventas[[#This Row],[Método_pago]]="Efectivo","Efectivo","Electrónico")</f>
        <v>Efectivo</v>
      </c>
      <c r="M224" t="str">
        <f t="shared" si="3"/>
        <v>Venta promedio</v>
      </c>
      <c r="N224" s="22"/>
      <c r="O224" s="22"/>
      <c r="P224" s="22"/>
    </row>
    <row r="225" spans="1:16" x14ac:dyDescent="0.35">
      <c r="A225">
        <v>9982</v>
      </c>
      <c r="B225" t="s">
        <v>272</v>
      </c>
      <c r="C225" s="1">
        <v>45453</v>
      </c>
      <c r="D225" t="s">
        <v>24</v>
      </c>
      <c r="E225" t="s">
        <v>25</v>
      </c>
      <c r="F225" s="6">
        <v>707995</v>
      </c>
      <c r="G225">
        <v>1</v>
      </c>
      <c r="H225" s="6">
        <v>707995</v>
      </c>
      <c r="I225" t="s">
        <v>769</v>
      </c>
      <c r="J225" t="s">
        <v>1608</v>
      </c>
      <c r="K225" t="s">
        <v>561</v>
      </c>
      <c r="L225" t="str">
        <f>IF(Base_ventas[[#This Row],[Método_pago]]="Efectivo","Efectivo","Electrónico")</f>
        <v>Electrónico</v>
      </c>
      <c r="M225" t="str">
        <f t="shared" si="3"/>
        <v>Venta promedio</v>
      </c>
      <c r="N225" s="22"/>
      <c r="O225" s="22"/>
      <c r="P225" s="22"/>
    </row>
    <row r="226" spans="1:16" x14ac:dyDescent="0.35">
      <c r="A226">
        <v>5460</v>
      </c>
      <c r="B226" t="s">
        <v>189</v>
      </c>
      <c r="C226" s="1">
        <v>45453</v>
      </c>
      <c r="D226" t="s">
        <v>24</v>
      </c>
      <c r="E226" t="s">
        <v>25</v>
      </c>
      <c r="F226" s="6">
        <v>707995</v>
      </c>
      <c r="G226">
        <v>3</v>
      </c>
      <c r="H226" s="6">
        <v>2123985</v>
      </c>
      <c r="I226" t="s">
        <v>770</v>
      </c>
      <c r="J226" t="s">
        <v>2</v>
      </c>
      <c r="K226" t="s">
        <v>581</v>
      </c>
      <c r="L226" t="str">
        <f>IF(Base_ventas[[#This Row],[Método_pago]]="Efectivo","Efectivo","Electrónico")</f>
        <v>Efectivo</v>
      </c>
      <c r="M226" t="str">
        <f t="shared" si="3"/>
        <v>Best seller</v>
      </c>
      <c r="N226" s="22"/>
      <c r="O226" s="22"/>
      <c r="P226" s="22"/>
    </row>
    <row r="227" spans="1:16" x14ac:dyDescent="0.35">
      <c r="A227">
        <v>8682</v>
      </c>
      <c r="B227" t="s">
        <v>71</v>
      </c>
      <c r="C227" s="1">
        <v>45454</v>
      </c>
      <c r="D227" t="s">
        <v>30</v>
      </c>
      <c r="E227" t="s">
        <v>1</v>
      </c>
      <c r="F227" s="6">
        <v>114971</v>
      </c>
      <c r="G227">
        <v>2</v>
      </c>
      <c r="H227" s="6">
        <v>229942</v>
      </c>
      <c r="I227" t="s">
        <v>771</v>
      </c>
      <c r="J227" t="s">
        <v>4</v>
      </c>
      <c r="K227" t="s">
        <v>602</v>
      </c>
      <c r="L227" t="str">
        <f>IF(Base_ventas[[#This Row],[Método_pago]]="Efectivo","Efectivo","Electrónico")</f>
        <v>Electrónico</v>
      </c>
      <c r="M227" t="str">
        <f t="shared" si="3"/>
        <v>Venta promedio</v>
      </c>
      <c r="N227" s="22"/>
      <c r="O227" s="22"/>
      <c r="P227" s="22"/>
    </row>
    <row r="228" spans="1:16" x14ac:dyDescent="0.35">
      <c r="A228">
        <v>2774</v>
      </c>
      <c r="B228" t="s">
        <v>394</v>
      </c>
      <c r="C228" s="1">
        <v>45455</v>
      </c>
      <c r="D228" t="s">
        <v>24</v>
      </c>
      <c r="E228" t="s">
        <v>25</v>
      </c>
      <c r="F228" s="6">
        <v>707995</v>
      </c>
      <c r="G228">
        <v>1</v>
      </c>
      <c r="H228" s="6">
        <v>707995</v>
      </c>
      <c r="I228" t="s">
        <v>772</v>
      </c>
      <c r="J228" t="s">
        <v>4</v>
      </c>
      <c r="K228" t="s">
        <v>545</v>
      </c>
      <c r="L228" t="str">
        <f>IF(Base_ventas[[#This Row],[Método_pago]]="Efectivo","Efectivo","Electrónico")</f>
        <v>Electrónico</v>
      </c>
      <c r="M228" t="str">
        <f t="shared" si="3"/>
        <v>Venta promedio</v>
      </c>
      <c r="N228" s="22"/>
      <c r="O228" s="22"/>
      <c r="P228" s="22"/>
    </row>
    <row r="229" spans="1:16" x14ac:dyDescent="0.35">
      <c r="A229">
        <v>2802</v>
      </c>
      <c r="B229" t="s">
        <v>395</v>
      </c>
      <c r="C229" s="1">
        <v>45455</v>
      </c>
      <c r="D229" t="s">
        <v>28</v>
      </c>
      <c r="E229" t="s">
        <v>1</v>
      </c>
      <c r="F229" s="6">
        <v>177881</v>
      </c>
      <c r="G229">
        <v>2</v>
      </c>
      <c r="H229" s="6">
        <v>355762</v>
      </c>
      <c r="I229" t="s">
        <v>773</v>
      </c>
      <c r="J229" t="s">
        <v>2</v>
      </c>
      <c r="K229" t="s">
        <v>561</v>
      </c>
      <c r="L229" t="str">
        <f>IF(Base_ventas[[#This Row],[Método_pago]]="Efectivo","Efectivo","Electrónico")</f>
        <v>Efectivo</v>
      </c>
      <c r="M229" t="str">
        <f t="shared" si="3"/>
        <v>Venta promedio</v>
      </c>
      <c r="N229" s="22"/>
      <c r="O229" s="22"/>
      <c r="P229" s="22"/>
    </row>
    <row r="230" spans="1:16" x14ac:dyDescent="0.35">
      <c r="A230">
        <v>9382</v>
      </c>
      <c r="B230" t="s">
        <v>396</v>
      </c>
      <c r="C230" s="1">
        <v>45455</v>
      </c>
      <c r="D230" t="s">
        <v>22</v>
      </c>
      <c r="E230" t="s">
        <v>23</v>
      </c>
      <c r="F230" s="6">
        <v>741722</v>
      </c>
      <c r="G230">
        <v>3</v>
      </c>
      <c r="H230" s="6">
        <v>2225166</v>
      </c>
      <c r="I230" t="s">
        <v>774</v>
      </c>
      <c r="J230" t="s">
        <v>4</v>
      </c>
      <c r="K230" t="s">
        <v>581</v>
      </c>
      <c r="L230" t="str">
        <f>IF(Base_ventas[[#This Row],[Método_pago]]="Efectivo","Efectivo","Electrónico")</f>
        <v>Electrónico</v>
      </c>
      <c r="M230" t="str">
        <f t="shared" si="3"/>
        <v>Best seller</v>
      </c>
      <c r="N230" s="22"/>
      <c r="O230" s="22"/>
      <c r="P230" s="22"/>
    </row>
    <row r="231" spans="1:16" x14ac:dyDescent="0.35">
      <c r="A231">
        <v>2751</v>
      </c>
      <c r="B231" t="s">
        <v>397</v>
      </c>
      <c r="C231" s="1">
        <v>45457</v>
      </c>
      <c r="D231" t="s">
        <v>30</v>
      </c>
      <c r="E231" t="s">
        <v>1</v>
      </c>
      <c r="F231" s="6">
        <v>114971</v>
      </c>
      <c r="G231">
        <v>2</v>
      </c>
      <c r="H231" s="6">
        <v>229942</v>
      </c>
      <c r="I231" t="s">
        <v>775</v>
      </c>
      <c r="J231" t="s">
        <v>2</v>
      </c>
      <c r="K231" t="s">
        <v>579</v>
      </c>
      <c r="L231" t="str">
        <f>IF(Base_ventas[[#This Row],[Método_pago]]="Efectivo","Efectivo","Electrónico")</f>
        <v>Efectivo</v>
      </c>
      <c r="M231" t="str">
        <f t="shared" si="3"/>
        <v>Venta promedio</v>
      </c>
      <c r="N231" s="22"/>
      <c r="O231" s="22"/>
      <c r="P231" s="22"/>
    </row>
    <row r="232" spans="1:16" x14ac:dyDescent="0.35">
      <c r="A232">
        <v>8020</v>
      </c>
      <c r="B232" t="s">
        <v>398</v>
      </c>
      <c r="C232" s="1">
        <v>45458</v>
      </c>
      <c r="D232" t="s">
        <v>30</v>
      </c>
      <c r="E232" t="s">
        <v>1</v>
      </c>
      <c r="F232" s="6">
        <v>114971</v>
      </c>
      <c r="G232">
        <v>2</v>
      </c>
      <c r="H232" s="6">
        <v>229942</v>
      </c>
      <c r="I232" t="s">
        <v>776</v>
      </c>
      <c r="J232" t="s">
        <v>3</v>
      </c>
      <c r="K232" t="s">
        <v>539</v>
      </c>
      <c r="L232" t="str">
        <f>IF(Base_ventas[[#This Row],[Método_pago]]="Efectivo","Efectivo","Electrónico")</f>
        <v>Electrónico</v>
      </c>
      <c r="M232" t="str">
        <f t="shared" si="3"/>
        <v>Venta promedio</v>
      </c>
      <c r="N232" s="22"/>
      <c r="O232" s="22"/>
      <c r="P232" s="22"/>
    </row>
    <row r="233" spans="1:16" x14ac:dyDescent="0.35">
      <c r="A233">
        <v>2589</v>
      </c>
      <c r="B233" t="s">
        <v>399</v>
      </c>
      <c r="C233" s="1">
        <v>45458</v>
      </c>
      <c r="D233" t="s">
        <v>22</v>
      </c>
      <c r="E233" t="s">
        <v>23</v>
      </c>
      <c r="F233" s="6">
        <v>741722</v>
      </c>
      <c r="G233">
        <v>1</v>
      </c>
      <c r="H233" s="6">
        <v>741722</v>
      </c>
      <c r="I233" t="s">
        <v>777</v>
      </c>
      <c r="J233" t="s">
        <v>2</v>
      </c>
      <c r="K233" t="s">
        <v>622</v>
      </c>
      <c r="L233" t="str">
        <f>IF(Base_ventas[[#This Row],[Método_pago]]="Efectivo","Efectivo","Electrónico")</f>
        <v>Efectivo</v>
      </c>
      <c r="M233" t="str">
        <f t="shared" si="3"/>
        <v>Venta promedio</v>
      </c>
      <c r="N233" s="22"/>
      <c r="O233" s="22"/>
      <c r="P233" s="22"/>
    </row>
    <row r="234" spans="1:16" x14ac:dyDescent="0.35">
      <c r="A234">
        <v>7577</v>
      </c>
      <c r="B234" t="s">
        <v>62</v>
      </c>
      <c r="C234" s="1">
        <v>45458</v>
      </c>
      <c r="D234" t="s">
        <v>30</v>
      </c>
      <c r="E234" t="s">
        <v>1</v>
      </c>
      <c r="F234" s="6">
        <v>114971</v>
      </c>
      <c r="G234">
        <v>2</v>
      </c>
      <c r="H234" s="6">
        <v>229942</v>
      </c>
      <c r="I234" t="s">
        <v>778</v>
      </c>
      <c r="J234" t="s">
        <v>3</v>
      </c>
      <c r="K234" t="s">
        <v>537</v>
      </c>
      <c r="L234" t="str">
        <f>IF(Base_ventas[[#This Row],[Método_pago]]="Efectivo","Efectivo","Electrónico")</f>
        <v>Electrónico</v>
      </c>
      <c r="M234" t="str">
        <f t="shared" si="3"/>
        <v>Venta promedio</v>
      </c>
      <c r="N234" s="22"/>
      <c r="O234" s="22"/>
      <c r="P234" s="22"/>
    </row>
    <row r="235" spans="1:16" x14ac:dyDescent="0.35">
      <c r="A235">
        <v>9902</v>
      </c>
      <c r="B235" t="s">
        <v>122</v>
      </c>
      <c r="C235" s="1">
        <v>45459</v>
      </c>
      <c r="D235" t="s">
        <v>22</v>
      </c>
      <c r="E235" t="s">
        <v>23</v>
      </c>
      <c r="F235" s="6">
        <v>741722</v>
      </c>
      <c r="G235">
        <v>2</v>
      </c>
      <c r="H235" s="6">
        <v>1483444</v>
      </c>
      <c r="I235" t="s">
        <v>779</v>
      </c>
      <c r="J235" t="s">
        <v>3</v>
      </c>
      <c r="K235" t="s">
        <v>545</v>
      </c>
      <c r="L235" t="str">
        <f>IF(Base_ventas[[#This Row],[Método_pago]]="Efectivo","Efectivo","Electrónico")</f>
        <v>Electrónico</v>
      </c>
      <c r="M235" t="str">
        <f t="shared" si="3"/>
        <v>Venta promedio</v>
      </c>
      <c r="N235" s="22"/>
      <c r="O235" s="22"/>
      <c r="P235" s="22"/>
    </row>
    <row r="236" spans="1:16" x14ac:dyDescent="0.35">
      <c r="A236">
        <v>7058</v>
      </c>
      <c r="B236" t="s">
        <v>263</v>
      </c>
      <c r="C236" s="1">
        <v>45459</v>
      </c>
      <c r="D236" t="s">
        <v>26</v>
      </c>
      <c r="E236" t="s">
        <v>25</v>
      </c>
      <c r="F236" s="6">
        <v>1844533</v>
      </c>
      <c r="G236">
        <v>3</v>
      </c>
      <c r="H236" s="6">
        <v>5533599</v>
      </c>
      <c r="I236" t="s">
        <v>780</v>
      </c>
      <c r="J236" t="s">
        <v>2</v>
      </c>
      <c r="K236" t="s">
        <v>571</v>
      </c>
      <c r="L236" t="str">
        <f>IF(Base_ventas[[#This Row],[Método_pago]]="Efectivo","Efectivo","Electrónico")</f>
        <v>Efectivo</v>
      </c>
      <c r="M236" t="str">
        <f t="shared" si="3"/>
        <v>Best seller</v>
      </c>
      <c r="N236" s="22"/>
      <c r="O236" s="22"/>
      <c r="P236" s="22"/>
    </row>
    <row r="237" spans="1:16" x14ac:dyDescent="0.35">
      <c r="A237">
        <v>6401</v>
      </c>
      <c r="B237" t="s">
        <v>192</v>
      </c>
      <c r="C237" s="1">
        <v>45459</v>
      </c>
      <c r="D237" t="s">
        <v>22</v>
      </c>
      <c r="E237" t="s">
        <v>23</v>
      </c>
      <c r="F237" s="6">
        <v>741722</v>
      </c>
      <c r="G237">
        <v>3</v>
      </c>
      <c r="H237" s="6">
        <v>2225166</v>
      </c>
      <c r="I237" t="s">
        <v>781</v>
      </c>
      <c r="J237" t="s">
        <v>3</v>
      </c>
      <c r="K237" t="s">
        <v>533</v>
      </c>
      <c r="L237" t="str">
        <f>IF(Base_ventas[[#This Row],[Método_pago]]="Efectivo","Efectivo","Electrónico")</f>
        <v>Electrónico</v>
      </c>
      <c r="M237" t="str">
        <f t="shared" si="3"/>
        <v>Best seller</v>
      </c>
      <c r="N237" s="22"/>
      <c r="O237" s="22"/>
      <c r="P237" s="22"/>
    </row>
    <row r="238" spans="1:16" x14ac:dyDescent="0.35">
      <c r="A238">
        <v>9974</v>
      </c>
      <c r="B238" t="s">
        <v>400</v>
      </c>
      <c r="C238" s="1">
        <v>45459</v>
      </c>
      <c r="D238" t="s">
        <v>28</v>
      </c>
      <c r="E238" t="s">
        <v>1</v>
      </c>
      <c r="F238" s="6">
        <v>177881</v>
      </c>
      <c r="G238">
        <v>1</v>
      </c>
      <c r="H238" s="6">
        <v>177881</v>
      </c>
      <c r="I238" t="s">
        <v>782</v>
      </c>
      <c r="J238" t="s">
        <v>3</v>
      </c>
      <c r="K238" t="s">
        <v>545</v>
      </c>
      <c r="L238" t="str">
        <f>IF(Base_ventas[[#This Row],[Método_pago]]="Efectivo","Efectivo","Electrónico")</f>
        <v>Electrónico</v>
      </c>
      <c r="M238" t="str">
        <f t="shared" si="3"/>
        <v>Venta promedio</v>
      </c>
      <c r="N238" s="22"/>
      <c r="O238" s="22"/>
      <c r="P238" s="22"/>
    </row>
    <row r="239" spans="1:16" x14ac:dyDescent="0.35">
      <c r="A239">
        <v>4633</v>
      </c>
      <c r="B239" t="s">
        <v>266</v>
      </c>
      <c r="C239" s="1">
        <v>45459</v>
      </c>
      <c r="D239" t="s">
        <v>24</v>
      </c>
      <c r="E239" t="s">
        <v>25</v>
      </c>
      <c r="F239" s="6">
        <v>707995</v>
      </c>
      <c r="G239">
        <v>1</v>
      </c>
      <c r="H239" s="6">
        <v>707995</v>
      </c>
      <c r="I239" t="s">
        <v>783</v>
      </c>
      <c r="J239" t="s">
        <v>3</v>
      </c>
      <c r="K239" t="s">
        <v>579</v>
      </c>
      <c r="L239" t="str">
        <f>IF(Base_ventas[[#This Row],[Método_pago]]="Efectivo","Efectivo","Electrónico")</f>
        <v>Electrónico</v>
      </c>
      <c r="M239" t="str">
        <f t="shared" si="3"/>
        <v>Venta promedio</v>
      </c>
      <c r="N239" s="22"/>
      <c r="O239" s="22"/>
      <c r="P239" s="22"/>
    </row>
    <row r="240" spans="1:16" x14ac:dyDescent="0.35">
      <c r="A240">
        <v>7760</v>
      </c>
      <c r="B240" t="s">
        <v>401</v>
      </c>
      <c r="C240" s="1">
        <v>45460</v>
      </c>
      <c r="D240" t="s">
        <v>22</v>
      </c>
      <c r="E240" t="s">
        <v>23</v>
      </c>
      <c r="F240" s="6">
        <v>741722</v>
      </c>
      <c r="G240">
        <v>2</v>
      </c>
      <c r="H240" s="6">
        <v>1483444</v>
      </c>
      <c r="I240" t="s">
        <v>784</v>
      </c>
      <c r="J240" t="s">
        <v>1608</v>
      </c>
      <c r="K240" t="s">
        <v>535</v>
      </c>
      <c r="L240" t="str">
        <f>IF(Base_ventas[[#This Row],[Método_pago]]="Efectivo","Efectivo","Electrónico")</f>
        <v>Electrónico</v>
      </c>
      <c r="M240" t="str">
        <f t="shared" si="3"/>
        <v>Venta promedio</v>
      </c>
      <c r="N240" s="22"/>
      <c r="O240" s="22"/>
      <c r="P240" s="22"/>
    </row>
    <row r="241" spans="1:16" x14ac:dyDescent="0.35">
      <c r="A241">
        <v>3011</v>
      </c>
      <c r="B241" t="s">
        <v>188</v>
      </c>
      <c r="C241" s="1">
        <v>45460</v>
      </c>
      <c r="D241" t="s">
        <v>22</v>
      </c>
      <c r="E241" t="s">
        <v>23</v>
      </c>
      <c r="F241" s="6">
        <v>741722</v>
      </c>
      <c r="G241">
        <v>3</v>
      </c>
      <c r="H241" s="6">
        <v>2225166</v>
      </c>
      <c r="I241" t="s">
        <v>785</v>
      </c>
      <c r="J241" t="s">
        <v>3</v>
      </c>
      <c r="K241" t="s">
        <v>547</v>
      </c>
      <c r="L241" t="str">
        <f>IF(Base_ventas[[#This Row],[Método_pago]]="Efectivo","Efectivo","Electrónico")</f>
        <v>Electrónico</v>
      </c>
      <c r="M241" t="str">
        <f t="shared" si="3"/>
        <v>Best seller</v>
      </c>
      <c r="N241" s="22"/>
      <c r="O241" s="22"/>
      <c r="P241" s="22"/>
    </row>
    <row r="242" spans="1:16" x14ac:dyDescent="0.35">
      <c r="A242">
        <v>8790</v>
      </c>
      <c r="B242" t="s">
        <v>38</v>
      </c>
      <c r="C242" s="1">
        <v>45460</v>
      </c>
      <c r="D242" t="s">
        <v>28</v>
      </c>
      <c r="E242" t="s">
        <v>1</v>
      </c>
      <c r="F242" s="6">
        <v>177881</v>
      </c>
      <c r="G242">
        <v>1</v>
      </c>
      <c r="H242" s="6">
        <v>177881</v>
      </c>
      <c r="I242" t="s">
        <v>786</v>
      </c>
      <c r="J242" t="s">
        <v>4</v>
      </c>
      <c r="K242" t="s">
        <v>541</v>
      </c>
      <c r="L242" t="str">
        <f>IF(Base_ventas[[#This Row],[Método_pago]]="Efectivo","Efectivo","Electrónico")</f>
        <v>Electrónico</v>
      </c>
      <c r="M242" t="str">
        <f t="shared" si="3"/>
        <v>Venta promedio</v>
      </c>
      <c r="N242" s="22"/>
      <c r="O242" s="22"/>
      <c r="P242" s="22"/>
    </row>
    <row r="243" spans="1:16" x14ac:dyDescent="0.35">
      <c r="A243">
        <v>6072</v>
      </c>
      <c r="B243" t="s">
        <v>174</v>
      </c>
      <c r="C243" s="1">
        <v>45460</v>
      </c>
      <c r="D243" t="s">
        <v>28</v>
      </c>
      <c r="E243" t="s">
        <v>1</v>
      </c>
      <c r="F243" s="6">
        <v>177881</v>
      </c>
      <c r="G243">
        <v>1</v>
      </c>
      <c r="H243" s="6">
        <v>177881</v>
      </c>
      <c r="I243" t="s">
        <v>787</v>
      </c>
      <c r="J243" t="s">
        <v>3</v>
      </c>
      <c r="K243" t="s">
        <v>579</v>
      </c>
      <c r="L243" t="str">
        <f>IF(Base_ventas[[#This Row],[Método_pago]]="Efectivo","Efectivo","Electrónico")</f>
        <v>Electrónico</v>
      </c>
      <c r="M243" t="str">
        <f t="shared" si="3"/>
        <v>Venta promedio</v>
      </c>
      <c r="N243" s="22"/>
      <c r="O243" s="22"/>
      <c r="P243" s="22"/>
    </row>
    <row r="244" spans="1:16" x14ac:dyDescent="0.35">
      <c r="A244">
        <v>8547</v>
      </c>
      <c r="B244" t="s">
        <v>402</v>
      </c>
      <c r="C244" s="1">
        <v>45461</v>
      </c>
      <c r="D244" t="s">
        <v>24</v>
      </c>
      <c r="E244" t="s">
        <v>25</v>
      </c>
      <c r="F244" s="6">
        <v>707995</v>
      </c>
      <c r="G244">
        <v>1</v>
      </c>
      <c r="H244" s="6">
        <v>707995</v>
      </c>
      <c r="I244" t="s">
        <v>788</v>
      </c>
      <c r="J244" t="s">
        <v>3</v>
      </c>
      <c r="K244" t="s">
        <v>539</v>
      </c>
      <c r="L244" t="str">
        <f>IF(Base_ventas[[#This Row],[Método_pago]]="Efectivo","Efectivo","Electrónico")</f>
        <v>Electrónico</v>
      </c>
      <c r="M244" t="str">
        <f t="shared" si="3"/>
        <v>Venta promedio</v>
      </c>
      <c r="N244" s="22"/>
      <c r="O244" s="22"/>
      <c r="P244" s="22"/>
    </row>
    <row r="245" spans="1:16" x14ac:dyDescent="0.35">
      <c r="A245">
        <v>7071</v>
      </c>
      <c r="B245" t="s">
        <v>49</v>
      </c>
      <c r="C245" s="1">
        <v>45461</v>
      </c>
      <c r="D245" t="s">
        <v>28</v>
      </c>
      <c r="E245" t="s">
        <v>1</v>
      </c>
      <c r="F245" s="6">
        <v>177881</v>
      </c>
      <c r="G245">
        <v>3</v>
      </c>
      <c r="H245" s="6">
        <v>533643</v>
      </c>
      <c r="I245" t="s">
        <v>789</v>
      </c>
      <c r="J245" t="s">
        <v>2</v>
      </c>
      <c r="K245" t="s">
        <v>622</v>
      </c>
      <c r="L245" t="str">
        <f>IF(Base_ventas[[#This Row],[Método_pago]]="Efectivo","Efectivo","Electrónico")</f>
        <v>Efectivo</v>
      </c>
      <c r="M245" t="str">
        <f t="shared" si="3"/>
        <v>Venta promedio</v>
      </c>
      <c r="N245" s="22"/>
      <c r="O245" s="22"/>
      <c r="P245" s="22"/>
    </row>
    <row r="246" spans="1:16" x14ac:dyDescent="0.35">
      <c r="A246">
        <v>4071</v>
      </c>
      <c r="B246" t="s">
        <v>403</v>
      </c>
      <c r="C246" s="1">
        <v>45462</v>
      </c>
      <c r="D246" t="s">
        <v>22</v>
      </c>
      <c r="E246" t="s">
        <v>23</v>
      </c>
      <c r="F246" s="6">
        <v>741722</v>
      </c>
      <c r="G246">
        <v>2</v>
      </c>
      <c r="H246" s="6">
        <v>1483444</v>
      </c>
      <c r="I246" t="s">
        <v>790</v>
      </c>
      <c r="J246" t="s">
        <v>2</v>
      </c>
      <c r="K246" t="s">
        <v>571</v>
      </c>
      <c r="L246" t="str">
        <f>IF(Base_ventas[[#This Row],[Método_pago]]="Efectivo","Efectivo","Electrónico")</f>
        <v>Efectivo</v>
      </c>
      <c r="M246" t="str">
        <f t="shared" si="3"/>
        <v>Venta promedio</v>
      </c>
      <c r="N246" s="22"/>
      <c r="O246" s="22"/>
      <c r="P246" s="22"/>
    </row>
    <row r="247" spans="1:16" x14ac:dyDescent="0.35">
      <c r="A247">
        <v>3050</v>
      </c>
      <c r="B247" t="s">
        <v>404</v>
      </c>
      <c r="C247" s="1">
        <v>45464</v>
      </c>
      <c r="D247" t="s">
        <v>22</v>
      </c>
      <c r="E247" t="s">
        <v>23</v>
      </c>
      <c r="F247" s="6">
        <v>741722</v>
      </c>
      <c r="G247">
        <v>3</v>
      </c>
      <c r="H247" s="6">
        <v>2225166</v>
      </c>
      <c r="I247" t="s">
        <v>791</v>
      </c>
      <c r="J247" t="s">
        <v>4</v>
      </c>
      <c r="K247" t="s">
        <v>547</v>
      </c>
      <c r="L247" t="str">
        <f>IF(Base_ventas[[#This Row],[Método_pago]]="Efectivo","Efectivo","Electrónico")</f>
        <v>Electrónico</v>
      </c>
      <c r="M247" t="str">
        <f t="shared" si="3"/>
        <v>Best seller</v>
      </c>
      <c r="N247" s="22"/>
      <c r="O247" s="22"/>
      <c r="P247" s="22"/>
    </row>
    <row r="248" spans="1:16" x14ac:dyDescent="0.35">
      <c r="A248">
        <v>2001</v>
      </c>
      <c r="B248" t="s">
        <v>405</v>
      </c>
      <c r="C248" s="1">
        <v>45466</v>
      </c>
      <c r="D248" t="s">
        <v>22</v>
      </c>
      <c r="E248" t="s">
        <v>23</v>
      </c>
      <c r="F248" s="6">
        <v>741722</v>
      </c>
      <c r="G248">
        <v>3</v>
      </c>
      <c r="H248" s="6">
        <v>2225166</v>
      </c>
      <c r="I248" t="s">
        <v>792</v>
      </c>
      <c r="J248" t="s">
        <v>3</v>
      </c>
      <c r="K248" t="s">
        <v>602</v>
      </c>
      <c r="L248" t="str">
        <f>IF(Base_ventas[[#This Row],[Método_pago]]="Efectivo","Efectivo","Electrónico")</f>
        <v>Electrónico</v>
      </c>
      <c r="M248" t="str">
        <f t="shared" si="3"/>
        <v>Best seller</v>
      </c>
      <c r="N248" s="22"/>
      <c r="O248" s="22"/>
      <c r="P248" s="22"/>
    </row>
    <row r="249" spans="1:16" x14ac:dyDescent="0.35">
      <c r="A249">
        <v>7892</v>
      </c>
      <c r="B249" t="s">
        <v>406</v>
      </c>
      <c r="C249" s="1">
        <v>45468</v>
      </c>
      <c r="D249" t="s">
        <v>30</v>
      </c>
      <c r="E249" t="s">
        <v>1</v>
      </c>
      <c r="F249" s="6">
        <v>114971</v>
      </c>
      <c r="G249">
        <v>3</v>
      </c>
      <c r="H249" s="6">
        <v>344913</v>
      </c>
      <c r="I249" t="s">
        <v>793</v>
      </c>
      <c r="J249" t="s">
        <v>2</v>
      </c>
      <c r="K249" t="s">
        <v>539</v>
      </c>
      <c r="L249" t="str">
        <f>IF(Base_ventas[[#This Row],[Método_pago]]="Efectivo","Efectivo","Electrónico")</f>
        <v>Efectivo</v>
      </c>
      <c r="M249" t="str">
        <f t="shared" si="3"/>
        <v>Venta promedio</v>
      </c>
      <c r="N249" s="22"/>
      <c r="O249" s="22"/>
      <c r="P249" s="22"/>
    </row>
    <row r="250" spans="1:16" x14ac:dyDescent="0.35">
      <c r="A250">
        <v>3699</v>
      </c>
      <c r="B250" t="s">
        <v>143</v>
      </c>
      <c r="C250" s="1">
        <v>45468</v>
      </c>
      <c r="D250" t="s">
        <v>22</v>
      </c>
      <c r="E250" t="s">
        <v>23</v>
      </c>
      <c r="F250" s="6">
        <v>741722</v>
      </c>
      <c r="G250">
        <v>3</v>
      </c>
      <c r="H250" s="6">
        <v>2225166</v>
      </c>
      <c r="I250" t="s">
        <v>794</v>
      </c>
      <c r="J250" t="s">
        <v>3</v>
      </c>
      <c r="K250" t="s">
        <v>537</v>
      </c>
      <c r="L250" t="str">
        <f>IF(Base_ventas[[#This Row],[Método_pago]]="Efectivo","Efectivo","Electrónico")</f>
        <v>Electrónico</v>
      </c>
      <c r="M250" t="str">
        <f t="shared" si="3"/>
        <v>Best seller</v>
      </c>
      <c r="N250" s="22"/>
      <c r="O250" s="22"/>
      <c r="P250" s="22"/>
    </row>
    <row r="251" spans="1:16" x14ac:dyDescent="0.35">
      <c r="A251">
        <v>9256</v>
      </c>
      <c r="B251" t="s">
        <v>29</v>
      </c>
      <c r="C251" s="1">
        <v>45469</v>
      </c>
      <c r="D251" t="s">
        <v>28</v>
      </c>
      <c r="E251" t="s">
        <v>1</v>
      </c>
      <c r="F251" s="6">
        <v>177881</v>
      </c>
      <c r="G251">
        <v>1</v>
      </c>
      <c r="H251" s="6">
        <v>177881</v>
      </c>
      <c r="I251" t="s">
        <v>795</v>
      </c>
      <c r="J251" t="s">
        <v>1608</v>
      </c>
      <c r="K251" t="s">
        <v>545</v>
      </c>
      <c r="L251" t="str">
        <f>IF(Base_ventas[[#This Row],[Método_pago]]="Efectivo","Efectivo","Electrónico")</f>
        <v>Electrónico</v>
      </c>
      <c r="M251" t="str">
        <f t="shared" si="3"/>
        <v>Venta promedio</v>
      </c>
      <c r="N251" s="22"/>
      <c r="O251" s="22"/>
      <c r="P251" s="22"/>
    </row>
    <row r="252" spans="1:16" x14ac:dyDescent="0.35">
      <c r="A252">
        <v>4709</v>
      </c>
      <c r="B252" t="s">
        <v>121</v>
      </c>
      <c r="C252" s="1">
        <v>45470</v>
      </c>
      <c r="D252" t="s">
        <v>30</v>
      </c>
      <c r="E252" t="s">
        <v>1</v>
      </c>
      <c r="F252" s="6">
        <v>114971</v>
      </c>
      <c r="G252">
        <v>3</v>
      </c>
      <c r="H252" s="6">
        <v>344913</v>
      </c>
      <c r="I252" t="s">
        <v>796</v>
      </c>
      <c r="J252" t="s">
        <v>3</v>
      </c>
      <c r="K252" t="s">
        <v>545</v>
      </c>
      <c r="L252" t="str">
        <f>IF(Base_ventas[[#This Row],[Método_pago]]="Efectivo","Efectivo","Electrónico")</f>
        <v>Electrónico</v>
      </c>
      <c r="M252" t="str">
        <f t="shared" si="3"/>
        <v>Venta promedio</v>
      </c>
      <c r="N252" s="22"/>
      <c r="O252" s="22"/>
      <c r="P252" s="22"/>
    </row>
    <row r="253" spans="1:16" x14ac:dyDescent="0.35">
      <c r="A253">
        <v>4474</v>
      </c>
      <c r="B253" t="s">
        <v>130</v>
      </c>
      <c r="C253" s="1">
        <v>45470</v>
      </c>
      <c r="D253" t="s">
        <v>28</v>
      </c>
      <c r="E253" t="s">
        <v>1</v>
      </c>
      <c r="F253" s="6">
        <v>177881</v>
      </c>
      <c r="G253">
        <v>3</v>
      </c>
      <c r="H253" s="6">
        <v>533643</v>
      </c>
      <c r="I253" t="s">
        <v>797</v>
      </c>
      <c r="J253" t="s">
        <v>3</v>
      </c>
      <c r="K253" t="s">
        <v>571</v>
      </c>
      <c r="L253" t="str">
        <f>IF(Base_ventas[[#This Row],[Método_pago]]="Efectivo","Efectivo","Electrónico")</f>
        <v>Electrónico</v>
      </c>
      <c r="M253" t="str">
        <f t="shared" si="3"/>
        <v>Venta promedio</v>
      </c>
      <c r="N253" s="22"/>
      <c r="O253" s="22"/>
      <c r="P253" s="22"/>
    </row>
    <row r="254" spans="1:16" x14ac:dyDescent="0.35">
      <c r="A254">
        <v>2408</v>
      </c>
      <c r="B254" t="s">
        <v>407</v>
      </c>
      <c r="C254" s="1">
        <v>45470</v>
      </c>
      <c r="D254" t="s">
        <v>26</v>
      </c>
      <c r="E254" t="s">
        <v>25</v>
      </c>
      <c r="F254" s="6">
        <v>1844533</v>
      </c>
      <c r="G254">
        <v>1</v>
      </c>
      <c r="H254" s="6">
        <v>1844533</v>
      </c>
      <c r="I254" t="s">
        <v>798</v>
      </c>
      <c r="J254" t="s">
        <v>2</v>
      </c>
      <c r="K254" t="s">
        <v>547</v>
      </c>
      <c r="L254" t="str">
        <f>IF(Base_ventas[[#This Row],[Método_pago]]="Efectivo","Efectivo","Electrónico")</f>
        <v>Efectivo</v>
      </c>
      <c r="M254" t="str">
        <f t="shared" si="3"/>
        <v>Venta promedio</v>
      </c>
      <c r="N254" s="22"/>
      <c r="O254" s="22"/>
      <c r="P254" s="22"/>
    </row>
    <row r="255" spans="1:16" x14ac:dyDescent="0.35">
      <c r="A255">
        <v>4356</v>
      </c>
      <c r="B255" t="s">
        <v>132</v>
      </c>
      <c r="C255" s="1">
        <v>45470</v>
      </c>
      <c r="D255" t="s">
        <v>30</v>
      </c>
      <c r="E255" t="s">
        <v>1</v>
      </c>
      <c r="F255" s="6">
        <v>114971</v>
      </c>
      <c r="G255">
        <v>2</v>
      </c>
      <c r="H255" s="6">
        <v>229942</v>
      </c>
      <c r="I255" t="s">
        <v>799</v>
      </c>
      <c r="J255" t="s">
        <v>1608</v>
      </c>
      <c r="K255" t="s">
        <v>577</v>
      </c>
      <c r="L255" t="str">
        <f>IF(Base_ventas[[#This Row],[Método_pago]]="Efectivo","Efectivo","Electrónico")</f>
        <v>Electrónico</v>
      </c>
      <c r="M255" t="str">
        <f t="shared" si="3"/>
        <v>Venta promedio</v>
      </c>
      <c r="N255" s="22"/>
      <c r="O255" s="22"/>
      <c r="P255" s="22"/>
    </row>
    <row r="256" spans="1:16" x14ac:dyDescent="0.35">
      <c r="A256">
        <v>1528</v>
      </c>
      <c r="B256" t="s">
        <v>175</v>
      </c>
      <c r="C256" s="1">
        <v>45470</v>
      </c>
      <c r="D256" t="s">
        <v>26</v>
      </c>
      <c r="E256" t="s">
        <v>25</v>
      </c>
      <c r="F256" s="6">
        <v>1844533</v>
      </c>
      <c r="G256">
        <v>1</v>
      </c>
      <c r="H256" s="6">
        <v>1844533</v>
      </c>
      <c r="I256" t="s">
        <v>800</v>
      </c>
      <c r="J256" t="s">
        <v>4</v>
      </c>
      <c r="K256" t="s">
        <v>545</v>
      </c>
      <c r="L256" t="str">
        <f>IF(Base_ventas[[#This Row],[Método_pago]]="Efectivo","Efectivo","Electrónico")</f>
        <v>Electrónico</v>
      </c>
      <c r="M256" t="str">
        <f t="shared" si="3"/>
        <v>Venta promedio</v>
      </c>
      <c r="N256" s="22"/>
      <c r="O256" s="22"/>
      <c r="P256" s="22"/>
    </row>
    <row r="257" spans="1:16" x14ac:dyDescent="0.35">
      <c r="A257">
        <v>2733</v>
      </c>
      <c r="B257" t="s">
        <v>408</v>
      </c>
      <c r="C257" s="1">
        <v>45470</v>
      </c>
      <c r="D257" t="s">
        <v>24</v>
      </c>
      <c r="E257" t="s">
        <v>25</v>
      </c>
      <c r="F257" s="6">
        <v>707995</v>
      </c>
      <c r="G257">
        <v>1</v>
      </c>
      <c r="H257" s="6">
        <v>707995</v>
      </c>
      <c r="I257" t="s">
        <v>801</v>
      </c>
      <c r="J257" t="s">
        <v>4</v>
      </c>
      <c r="K257" t="s">
        <v>535</v>
      </c>
      <c r="L257" t="str">
        <f>IF(Base_ventas[[#This Row],[Método_pago]]="Efectivo","Efectivo","Electrónico")</f>
        <v>Electrónico</v>
      </c>
      <c r="M257" t="str">
        <f t="shared" si="3"/>
        <v>Venta promedio</v>
      </c>
      <c r="N257" s="22"/>
      <c r="O257" s="22"/>
      <c r="P257" s="22"/>
    </row>
    <row r="258" spans="1:16" x14ac:dyDescent="0.35">
      <c r="A258">
        <v>1928</v>
      </c>
      <c r="B258" t="s">
        <v>409</v>
      </c>
      <c r="C258" s="1">
        <v>45472</v>
      </c>
      <c r="D258" t="s">
        <v>26</v>
      </c>
      <c r="E258" t="s">
        <v>25</v>
      </c>
      <c r="F258" s="6">
        <v>1844533</v>
      </c>
      <c r="G258">
        <v>2</v>
      </c>
      <c r="H258" s="6">
        <v>3689066</v>
      </c>
      <c r="I258" t="s">
        <v>802</v>
      </c>
      <c r="J258" t="s">
        <v>2</v>
      </c>
      <c r="K258" t="s">
        <v>577</v>
      </c>
      <c r="L258" t="str">
        <f>IF(Base_ventas[[#This Row],[Método_pago]]="Efectivo","Efectivo","Electrónico")</f>
        <v>Efectivo</v>
      </c>
      <c r="M258" t="str">
        <f t="shared" si="3"/>
        <v>Venta promedio</v>
      </c>
      <c r="N258" s="22"/>
      <c r="O258" s="22"/>
      <c r="P258" s="22"/>
    </row>
    <row r="259" spans="1:16" x14ac:dyDescent="0.35">
      <c r="A259">
        <v>8583</v>
      </c>
      <c r="B259" t="s">
        <v>59</v>
      </c>
      <c r="C259" s="1">
        <v>45472</v>
      </c>
      <c r="D259" t="s">
        <v>28</v>
      </c>
      <c r="E259" t="s">
        <v>1</v>
      </c>
      <c r="F259" s="6">
        <v>177881</v>
      </c>
      <c r="G259">
        <v>3</v>
      </c>
      <c r="H259" s="6">
        <v>533643</v>
      </c>
      <c r="I259" t="s">
        <v>803</v>
      </c>
      <c r="J259" t="s">
        <v>3</v>
      </c>
      <c r="K259" t="s">
        <v>539</v>
      </c>
      <c r="L259" t="str">
        <f>IF(Base_ventas[[#This Row],[Método_pago]]="Efectivo","Efectivo","Electrónico")</f>
        <v>Electrónico</v>
      </c>
      <c r="M259" t="str">
        <f t="shared" si="3"/>
        <v>Venta promedio</v>
      </c>
      <c r="N259" s="22"/>
      <c r="O259" s="22"/>
      <c r="P259" s="22"/>
    </row>
    <row r="260" spans="1:16" x14ac:dyDescent="0.35">
      <c r="A260">
        <v>1154</v>
      </c>
      <c r="B260" t="s">
        <v>87</v>
      </c>
      <c r="C260" s="1">
        <v>45472</v>
      </c>
      <c r="D260" t="s">
        <v>26</v>
      </c>
      <c r="E260" t="s">
        <v>25</v>
      </c>
      <c r="F260" s="6">
        <v>1844533</v>
      </c>
      <c r="G260">
        <v>1</v>
      </c>
      <c r="H260" s="6">
        <v>1844533</v>
      </c>
      <c r="I260" t="s">
        <v>804</v>
      </c>
      <c r="J260" t="s">
        <v>1608</v>
      </c>
      <c r="K260" t="s">
        <v>539</v>
      </c>
      <c r="L260" t="str">
        <f>IF(Base_ventas[[#This Row],[Método_pago]]="Efectivo","Efectivo","Electrónico")</f>
        <v>Electrónico</v>
      </c>
      <c r="M260" t="str">
        <f t="shared" ref="M260:M323" si="4">IF(AND(G260&gt;2,H260&gt;=1000000),"Best seller","Venta promedio")</f>
        <v>Venta promedio</v>
      </c>
      <c r="N260" s="22"/>
      <c r="O260" s="22"/>
      <c r="P260" s="22"/>
    </row>
    <row r="261" spans="1:16" x14ac:dyDescent="0.35">
      <c r="A261">
        <v>6639</v>
      </c>
      <c r="B261" t="s">
        <v>410</v>
      </c>
      <c r="C261" s="1">
        <v>45475</v>
      </c>
      <c r="D261" t="s">
        <v>22</v>
      </c>
      <c r="E261" t="s">
        <v>23</v>
      </c>
      <c r="F261" s="6">
        <v>741722</v>
      </c>
      <c r="G261">
        <v>2</v>
      </c>
      <c r="H261" s="6">
        <v>1483444</v>
      </c>
      <c r="I261" t="s">
        <v>805</v>
      </c>
      <c r="J261" t="s">
        <v>2</v>
      </c>
      <c r="K261" t="s">
        <v>539</v>
      </c>
      <c r="L261" t="str">
        <f>IF(Base_ventas[[#This Row],[Método_pago]]="Efectivo","Efectivo","Electrónico")</f>
        <v>Efectivo</v>
      </c>
      <c r="M261" t="str">
        <f t="shared" si="4"/>
        <v>Venta promedio</v>
      </c>
      <c r="N261" s="22"/>
      <c r="O261" s="22"/>
      <c r="P261" s="22"/>
    </row>
    <row r="262" spans="1:16" x14ac:dyDescent="0.35">
      <c r="A262">
        <v>9759</v>
      </c>
      <c r="B262" t="s">
        <v>411</v>
      </c>
      <c r="C262" s="1">
        <v>45476</v>
      </c>
      <c r="D262" t="s">
        <v>24</v>
      </c>
      <c r="E262" t="s">
        <v>25</v>
      </c>
      <c r="F262" s="6">
        <v>707995</v>
      </c>
      <c r="G262">
        <v>2</v>
      </c>
      <c r="H262" s="6">
        <v>1415990</v>
      </c>
      <c r="I262" t="s">
        <v>806</v>
      </c>
      <c r="J262" t="s">
        <v>4</v>
      </c>
      <c r="K262" t="s">
        <v>579</v>
      </c>
      <c r="L262" t="str">
        <f>IF(Base_ventas[[#This Row],[Método_pago]]="Efectivo","Efectivo","Electrónico")</f>
        <v>Electrónico</v>
      </c>
      <c r="M262" t="str">
        <f t="shared" si="4"/>
        <v>Venta promedio</v>
      </c>
      <c r="N262" s="22"/>
      <c r="O262" s="22"/>
      <c r="P262" s="22"/>
    </row>
    <row r="263" spans="1:16" x14ac:dyDescent="0.35">
      <c r="A263">
        <v>3064</v>
      </c>
      <c r="B263" t="s">
        <v>183</v>
      </c>
      <c r="C263" s="1">
        <v>45476</v>
      </c>
      <c r="D263" t="s">
        <v>30</v>
      </c>
      <c r="E263" t="s">
        <v>1</v>
      </c>
      <c r="F263" s="6">
        <v>114971</v>
      </c>
      <c r="G263">
        <v>3</v>
      </c>
      <c r="H263" s="6">
        <v>344913</v>
      </c>
      <c r="I263" t="s">
        <v>807</v>
      </c>
      <c r="J263" t="s">
        <v>3</v>
      </c>
      <c r="K263" t="s">
        <v>561</v>
      </c>
      <c r="L263" t="str">
        <f>IF(Base_ventas[[#This Row],[Método_pago]]="Efectivo","Efectivo","Electrónico")</f>
        <v>Electrónico</v>
      </c>
      <c r="M263" t="str">
        <f t="shared" si="4"/>
        <v>Venta promedio</v>
      </c>
      <c r="N263" s="22"/>
      <c r="O263" s="22"/>
      <c r="P263" s="22"/>
    </row>
    <row r="264" spans="1:16" x14ac:dyDescent="0.35">
      <c r="A264">
        <v>3130</v>
      </c>
      <c r="B264" t="s">
        <v>234</v>
      </c>
      <c r="C264" s="1">
        <v>45476</v>
      </c>
      <c r="D264" t="s">
        <v>24</v>
      </c>
      <c r="E264" t="s">
        <v>25</v>
      </c>
      <c r="F264" s="6">
        <v>707995</v>
      </c>
      <c r="G264">
        <v>1</v>
      </c>
      <c r="H264" s="6">
        <v>707995</v>
      </c>
      <c r="I264" t="s">
        <v>808</v>
      </c>
      <c r="J264" t="s">
        <v>1608</v>
      </c>
      <c r="K264" t="s">
        <v>571</v>
      </c>
      <c r="L264" t="str">
        <f>IF(Base_ventas[[#This Row],[Método_pago]]="Efectivo","Efectivo","Electrónico")</f>
        <v>Electrónico</v>
      </c>
      <c r="M264" t="str">
        <f t="shared" si="4"/>
        <v>Venta promedio</v>
      </c>
      <c r="N264" s="22"/>
      <c r="O264" s="22"/>
      <c r="P264" s="22"/>
    </row>
    <row r="265" spans="1:16" x14ac:dyDescent="0.35">
      <c r="A265">
        <v>7375</v>
      </c>
      <c r="B265" t="s">
        <v>222</v>
      </c>
      <c r="C265" s="1">
        <v>45477</v>
      </c>
      <c r="D265" t="s">
        <v>24</v>
      </c>
      <c r="E265" t="s">
        <v>25</v>
      </c>
      <c r="F265" s="6">
        <v>707995</v>
      </c>
      <c r="G265">
        <v>1</v>
      </c>
      <c r="H265" s="6">
        <v>707995</v>
      </c>
      <c r="I265" t="s">
        <v>809</v>
      </c>
      <c r="J265" t="s">
        <v>4</v>
      </c>
      <c r="K265" t="s">
        <v>561</v>
      </c>
      <c r="L265" t="str">
        <f>IF(Base_ventas[[#This Row],[Método_pago]]="Efectivo","Efectivo","Electrónico")</f>
        <v>Electrónico</v>
      </c>
      <c r="M265" t="str">
        <f t="shared" si="4"/>
        <v>Venta promedio</v>
      </c>
      <c r="N265" s="22"/>
      <c r="O265" s="22"/>
      <c r="P265" s="22"/>
    </row>
    <row r="266" spans="1:16" x14ac:dyDescent="0.35">
      <c r="A266">
        <v>1181</v>
      </c>
      <c r="B266" t="s">
        <v>252</v>
      </c>
      <c r="C266" s="1">
        <v>45479</v>
      </c>
      <c r="D266" t="s">
        <v>26</v>
      </c>
      <c r="E266" t="s">
        <v>25</v>
      </c>
      <c r="F266" s="6">
        <v>1844533</v>
      </c>
      <c r="G266">
        <v>1</v>
      </c>
      <c r="H266" s="6">
        <v>1844533</v>
      </c>
      <c r="I266" t="s">
        <v>810</v>
      </c>
      <c r="J266" t="s">
        <v>3</v>
      </c>
      <c r="K266" t="s">
        <v>537</v>
      </c>
      <c r="L266" t="str">
        <f>IF(Base_ventas[[#This Row],[Método_pago]]="Efectivo","Efectivo","Electrónico")</f>
        <v>Electrónico</v>
      </c>
      <c r="M266" t="str">
        <f t="shared" si="4"/>
        <v>Venta promedio</v>
      </c>
      <c r="N266" s="22"/>
      <c r="O266" s="22"/>
      <c r="P266" s="22"/>
    </row>
    <row r="267" spans="1:16" x14ac:dyDescent="0.35">
      <c r="A267">
        <v>2453</v>
      </c>
      <c r="B267" t="s">
        <v>412</v>
      </c>
      <c r="C267" s="1">
        <v>45479</v>
      </c>
      <c r="D267" t="s">
        <v>24</v>
      </c>
      <c r="E267" t="s">
        <v>25</v>
      </c>
      <c r="F267" s="6">
        <v>707995</v>
      </c>
      <c r="G267">
        <v>3</v>
      </c>
      <c r="H267" s="6">
        <v>2123985</v>
      </c>
      <c r="I267" t="s">
        <v>811</v>
      </c>
      <c r="J267" t="s">
        <v>1608</v>
      </c>
      <c r="K267" t="s">
        <v>547</v>
      </c>
      <c r="L267" t="str">
        <f>IF(Base_ventas[[#This Row],[Método_pago]]="Efectivo","Efectivo","Electrónico")</f>
        <v>Electrónico</v>
      </c>
      <c r="M267" t="str">
        <f t="shared" si="4"/>
        <v>Best seller</v>
      </c>
      <c r="N267" s="22"/>
      <c r="O267" s="22"/>
      <c r="P267" s="22"/>
    </row>
    <row r="268" spans="1:16" x14ac:dyDescent="0.35">
      <c r="A268">
        <v>1775</v>
      </c>
      <c r="B268" t="s">
        <v>37</v>
      </c>
      <c r="C268" s="1">
        <v>45479</v>
      </c>
      <c r="D268" t="s">
        <v>24</v>
      </c>
      <c r="E268" t="s">
        <v>25</v>
      </c>
      <c r="F268" s="6">
        <v>707995</v>
      </c>
      <c r="G268">
        <v>2</v>
      </c>
      <c r="H268" s="6">
        <v>1415990</v>
      </c>
      <c r="I268" t="s">
        <v>812</v>
      </c>
      <c r="J268" t="s">
        <v>2</v>
      </c>
      <c r="K268" t="s">
        <v>561</v>
      </c>
      <c r="L268" t="str">
        <f>IF(Base_ventas[[#This Row],[Método_pago]]="Efectivo","Efectivo","Electrónico")</f>
        <v>Efectivo</v>
      </c>
      <c r="M268" t="str">
        <f t="shared" si="4"/>
        <v>Venta promedio</v>
      </c>
      <c r="N268" s="22"/>
      <c r="O268" s="22"/>
      <c r="P268" s="22"/>
    </row>
    <row r="269" spans="1:16" x14ac:dyDescent="0.35">
      <c r="A269">
        <v>6162</v>
      </c>
      <c r="B269" t="s">
        <v>106</v>
      </c>
      <c r="C269" s="1">
        <v>45480</v>
      </c>
      <c r="D269" t="s">
        <v>28</v>
      </c>
      <c r="E269" t="s">
        <v>1</v>
      </c>
      <c r="F269" s="6">
        <v>177881</v>
      </c>
      <c r="G269">
        <v>2</v>
      </c>
      <c r="H269" s="6">
        <v>355762</v>
      </c>
      <c r="I269" t="s">
        <v>813</v>
      </c>
      <c r="J269" t="s">
        <v>1608</v>
      </c>
      <c r="K269" t="s">
        <v>622</v>
      </c>
      <c r="L269" t="str">
        <f>IF(Base_ventas[[#This Row],[Método_pago]]="Efectivo","Efectivo","Electrónico")</f>
        <v>Electrónico</v>
      </c>
      <c r="M269" t="str">
        <f t="shared" si="4"/>
        <v>Venta promedio</v>
      </c>
      <c r="N269" s="22"/>
      <c r="O269" s="22"/>
      <c r="P269" s="22"/>
    </row>
    <row r="270" spans="1:16" x14ac:dyDescent="0.35">
      <c r="A270">
        <v>4523</v>
      </c>
      <c r="B270" t="s">
        <v>413</v>
      </c>
      <c r="C270" s="1">
        <v>45480</v>
      </c>
      <c r="D270" t="s">
        <v>24</v>
      </c>
      <c r="E270" t="s">
        <v>25</v>
      </c>
      <c r="F270" s="6">
        <v>707995</v>
      </c>
      <c r="G270">
        <v>1</v>
      </c>
      <c r="H270" s="6">
        <v>707995</v>
      </c>
      <c r="I270" t="s">
        <v>814</v>
      </c>
      <c r="J270" t="s">
        <v>2</v>
      </c>
      <c r="K270" t="s">
        <v>622</v>
      </c>
      <c r="L270" t="str">
        <f>IF(Base_ventas[[#This Row],[Método_pago]]="Efectivo","Efectivo","Electrónico")</f>
        <v>Efectivo</v>
      </c>
      <c r="M270" t="str">
        <f t="shared" si="4"/>
        <v>Venta promedio</v>
      </c>
      <c r="N270" s="22"/>
      <c r="O270" s="22"/>
      <c r="P270" s="22"/>
    </row>
    <row r="271" spans="1:16" x14ac:dyDescent="0.35">
      <c r="A271">
        <v>3912</v>
      </c>
      <c r="B271" t="s">
        <v>265</v>
      </c>
      <c r="C271" s="1">
        <v>45481</v>
      </c>
      <c r="D271" t="s">
        <v>28</v>
      </c>
      <c r="E271" t="s">
        <v>1</v>
      </c>
      <c r="F271" s="6">
        <v>177881</v>
      </c>
      <c r="G271">
        <v>2</v>
      </c>
      <c r="H271" s="6">
        <v>355762</v>
      </c>
      <c r="I271" t="s">
        <v>815</v>
      </c>
      <c r="J271" t="s">
        <v>2</v>
      </c>
      <c r="K271" t="s">
        <v>541</v>
      </c>
      <c r="L271" t="str">
        <f>IF(Base_ventas[[#This Row],[Método_pago]]="Efectivo","Efectivo","Electrónico")</f>
        <v>Efectivo</v>
      </c>
      <c r="M271" t="str">
        <f t="shared" si="4"/>
        <v>Venta promedio</v>
      </c>
      <c r="N271" s="22"/>
      <c r="O271" s="22"/>
      <c r="P271" s="22"/>
    </row>
    <row r="272" spans="1:16" x14ac:dyDescent="0.35">
      <c r="A272">
        <v>4281</v>
      </c>
      <c r="B272" t="s">
        <v>129</v>
      </c>
      <c r="C272" s="1">
        <v>45482</v>
      </c>
      <c r="D272" t="s">
        <v>26</v>
      </c>
      <c r="E272" t="s">
        <v>25</v>
      </c>
      <c r="F272" s="6">
        <v>1844533</v>
      </c>
      <c r="G272">
        <v>1</v>
      </c>
      <c r="H272" s="6">
        <v>1844533</v>
      </c>
      <c r="I272" t="s">
        <v>816</v>
      </c>
      <c r="J272" t="s">
        <v>1608</v>
      </c>
      <c r="K272" t="s">
        <v>561</v>
      </c>
      <c r="L272" t="str">
        <f>IF(Base_ventas[[#This Row],[Método_pago]]="Efectivo","Efectivo","Electrónico")</f>
        <v>Electrónico</v>
      </c>
      <c r="M272" t="str">
        <f t="shared" si="4"/>
        <v>Venta promedio</v>
      </c>
      <c r="N272" s="22"/>
      <c r="O272" s="22"/>
      <c r="P272" s="22"/>
    </row>
    <row r="273" spans="1:16" x14ac:dyDescent="0.35">
      <c r="A273">
        <v>7885</v>
      </c>
      <c r="B273" t="s">
        <v>414</v>
      </c>
      <c r="C273" s="1">
        <v>45482</v>
      </c>
      <c r="D273" t="s">
        <v>26</v>
      </c>
      <c r="E273" t="s">
        <v>25</v>
      </c>
      <c r="F273" s="6">
        <v>1844533</v>
      </c>
      <c r="G273">
        <v>1</v>
      </c>
      <c r="H273" s="6">
        <v>1844533</v>
      </c>
      <c r="I273" t="s">
        <v>817</v>
      </c>
      <c r="J273" t="s">
        <v>1608</v>
      </c>
      <c r="K273" t="s">
        <v>622</v>
      </c>
      <c r="L273" t="str">
        <f>IF(Base_ventas[[#This Row],[Método_pago]]="Efectivo","Efectivo","Electrónico")</f>
        <v>Electrónico</v>
      </c>
      <c r="M273" t="str">
        <f t="shared" si="4"/>
        <v>Venta promedio</v>
      </c>
      <c r="N273" s="22"/>
      <c r="O273" s="22"/>
      <c r="P273" s="22"/>
    </row>
    <row r="274" spans="1:16" x14ac:dyDescent="0.35">
      <c r="A274">
        <v>5780</v>
      </c>
      <c r="B274" t="s">
        <v>134</v>
      </c>
      <c r="C274" s="1">
        <v>45482</v>
      </c>
      <c r="D274" t="s">
        <v>24</v>
      </c>
      <c r="E274" t="s">
        <v>25</v>
      </c>
      <c r="F274" s="6">
        <v>707995</v>
      </c>
      <c r="G274">
        <v>3</v>
      </c>
      <c r="H274" s="6">
        <v>2123985</v>
      </c>
      <c r="I274" t="s">
        <v>818</v>
      </c>
      <c r="J274" t="s">
        <v>4</v>
      </c>
      <c r="K274" t="s">
        <v>541</v>
      </c>
      <c r="L274" t="str">
        <f>IF(Base_ventas[[#This Row],[Método_pago]]="Efectivo","Efectivo","Electrónico")</f>
        <v>Electrónico</v>
      </c>
      <c r="M274" t="str">
        <f t="shared" si="4"/>
        <v>Best seller</v>
      </c>
      <c r="N274" s="22"/>
      <c r="O274" s="22"/>
      <c r="P274" s="22"/>
    </row>
    <row r="275" spans="1:16" x14ac:dyDescent="0.35">
      <c r="A275">
        <v>9502</v>
      </c>
      <c r="B275" t="s">
        <v>415</v>
      </c>
      <c r="C275" s="1">
        <v>45483</v>
      </c>
      <c r="D275" t="s">
        <v>22</v>
      </c>
      <c r="E275" t="s">
        <v>23</v>
      </c>
      <c r="F275" s="6">
        <v>741722</v>
      </c>
      <c r="G275">
        <v>2</v>
      </c>
      <c r="H275" s="6">
        <v>1483444</v>
      </c>
      <c r="I275" t="s">
        <v>819</v>
      </c>
      <c r="J275" t="s">
        <v>1608</v>
      </c>
      <c r="K275" t="s">
        <v>545</v>
      </c>
      <c r="L275" t="str">
        <f>IF(Base_ventas[[#This Row],[Método_pago]]="Efectivo","Efectivo","Electrónico")</f>
        <v>Electrónico</v>
      </c>
      <c r="M275" t="str">
        <f t="shared" si="4"/>
        <v>Venta promedio</v>
      </c>
      <c r="N275" s="22"/>
      <c r="O275" s="22"/>
      <c r="P275" s="22"/>
    </row>
    <row r="276" spans="1:16" x14ac:dyDescent="0.35">
      <c r="A276">
        <v>4551</v>
      </c>
      <c r="B276" t="s">
        <v>246</v>
      </c>
      <c r="C276" s="1">
        <v>45484</v>
      </c>
      <c r="D276" t="s">
        <v>24</v>
      </c>
      <c r="E276" t="s">
        <v>25</v>
      </c>
      <c r="F276" s="6">
        <v>707995</v>
      </c>
      <c r="G276">
        <v>3</v>
      </c>
      <c r="H276" s="6">
        <v>2123985</v>
      </c>
      <c r="I276" t="s">
        <v>820</v>
      </c>
      <c r="J276" t="s">
        <v>3</v>
      </c>
      <c r="K276" t="s">
        <v>571</v>
      </c>
      <c r="L276" t="str">
        <f>IF(Base_ventas[[#This Row],[Método_pago]]="Efectivo","Efectivo","Electrónico")</f>
        <v>Electrónico</v>
      </c>
      <c r="M276" t="str">
        <f t="shared" si="4"/>
        <v>Best seller</v>
      </c>
      <c r="N276" s="22"/>
      <c r="O276" s="22"/>
      <c r="P276" s="22"/>
    </row>
    <row r="277" spans="1:16" x14ac:dyDescent="0.35">
      <c r="A277">
        <v>1668</v>
      </c>
      <c r="B277" t="s">
        <v>416</v>
      </c>
      <c r="C277" s="1">
        <v>45484</v>
      </c>
      <c r="D277" t="s">
        <v>26</v>
      </c>
      <c r="E277" t="s">
        <v>25</v>
      </c>
      <c r="F277" s="6">
        <v>1844533</v>
      </c>
      <c r="G277">
        <v>1</v>
      </c>
      <c r="H277" s="6">
        <v>1844533</v>
      </c>
      <c r="I277" t="s">
        <v>821</v>
      </c>
      <c r="J277" t="s">
        <v>4</v>
      </c>
      <c r="K277" t="s">
        <v>561</v>
      </c>
      <c r="L277" t="str">
        <f>IF(Base_ventas[[#This Row],[Método_pago]]="Efectivo","Efectivo","Electrónico")</f>
        <v>Electrónico</v>
      </c>
      <c r="M277" t="str">
        <f t="shared" si="4"/>
        <v>Venta promedio</v>
      </c>
      <c r="N277" s="22"/>
      <c r="O277" s="22"/>
      <c r="P277" s="22"/>
    </row>
    <row r="278" spans="1:16" x14ac:dyDescent="0.35">
      <c r="A278">
        <v>3146</v>
      </c>
      <c r="B278" t="s">
        <v>417</v>
      </c>
      <c r="C278" s="1">
        <v>45484</v>
      </c>
      <c r="D278" t="s">
        <v>26</v>
      </c>
      <c r="E278" t="s">
        <v>25</v>
      </c>
      <c r="F278" s="6">
        <v>1844533</v>
      </c>
      <c r="G278">
        <v>2</v>
      </c>
      <c r="H278" s="6">
        <v>3689066</v>
      </c>
      <c r="I278" t="s">
        <v>822</v>
      </c>
      <c r="J278" t="s">
        <v>2</v>
      </c>
      <c r="K278" t="s">
        <v>533</v>
      </c>
      <c r="L278" t="str">
        <f>IF(Base_ventas[[#This Row],[Método_pago]]="Efectivo","Efectivo","Electrónico")</f>
        <v>Efectivo</v>
      </c>
      <c r="M278" t="str">
        <f t="shared" si="4"/>
        <v>Venta promedio</v>
      </c>
      <c r="N278" s="22"/>
      <c r="O278" s="22"/>
      <c r="P278" s="22"/>
    </row>
    <row r="279" spans="1:16" x14ac:dyDescent="0.35">
      <c r="A279">
        <v>5787</v>
      </c>
      <c r="B279" t="s">
        <v>182</v>
      </c>
      <c r="C279" s="1">
        <v>45484</v>
      </c>
      <c r="D279" t="s">
        <v>22</v>
      </c>
      <c r="E279" t="s">
        <v>23</v>
      </c>
      <c r="F279" s="6">
        <v>741722</v>
      </c>
      <c r="G279">
        <v>3</v>
      </c>
      <c r="H279" s="6">
        <v>2225166</v>
      </c>
      <c r="I279" t="s">
        <v>823</v>
      </c>
      <c r="J279" t="s">
        <v>4</v>
      </c>
      <c r="K279" t="s">
        <v>579</v>
      </c>
      <c r="L279" t="str">
        <f>IF(Base_ventas[[#This Row],[Método_pago]]="Efectivo","Efectivo","Electrónico")</f>
        <v>Electrónico</v>
      </c>
      <c r="M279" t="str">
        <f t="shared" si="4"/>
        <v>Best seller</v>
      </c>
      <c r="N279" s="22"/>
      <c r="O279" s="22"/>
      <c r="P279" s="22"/>
    </row>
    <row r="280" spans="1:16" x14ac:dyDescent="0.35">
      <c r="A280">
        <v>5714</v>
      </c>
      <c r="B280" t="s">
        <v>250</v>
      </c>
      <c r="C280" s="1">
        <v>45485</v>
      </c>
      <c r="D280" t="s">
        <v>28</v>
      </c>
      <c r="E280" t="s">
        <v>1</v>
      </c>
      <c r="F280" s="6">
        <v>177881</v>
      </c>
      <c r="G280">
        <v>2</v>
      </c>
      <c r="H280" s="6">
        <v>355762</v>
      </c>
      <c r="I280" t="s">
        <v>824</v>
      </c>
      <c r="J280" t="s">
        <v>2</v>
      </c>
      <c r="K280" t="s">
        <v>602</v>
      </c>
      <c r="L280" t="str">
        <f>IF(Base_ventas[[#This Row],[Método_pago]]="Efectivo","Efectivo","Electrónico")</f>
        <v>Efectivo</v>
      </c>
      <c r="M280" t="str">
        <f t="shared" si="4"/>
        <v>Venta promedio</v>
      </c>
      <c r="N280" s="22"/>
      <c r="O280" s="22"/>
      <c r="P280" s="22"/>
    </row>
    <row r="281" spans="1:16" x14ac:dyDescent="0.35">
      <c r="A281">
        <v>2706</v>
      </c>
      <c r="B281" t="s">
        <v>418</v>
      </c>
      <c r="C281" s="1">
        <v>45485</v>
      </c>
      <c r="D281" t="s">
        <v>26</v>
      </c>
      <c r="E281" t="s">
        <v>25</v>
      </c>
      <c r="F281" s="6">
        <v>1844533</v>
      </c>
      <c r="G281">
        <v>3</v>
      </c>
      <c r="H281" s="6">
        <v>5533599</v>
      </c>
      <c r="I281" t="s">
        <v>825</v>
      </c>
      <c r="J281" t="s">
        <v>1608</v>
      </c>
      <c r="K281" t="s">
        <v>545</v>
      </c>
      <c r="L281" t="str">
        <f>IF(Base_ventas[[#This Row],[Método_pago]]="Efectivo","Efectivo","Electrónico")</f>
        <v>Electrónico</v>
      </c>
      <c r="M281" t="str">
        <f t="shared" si="4"/>
        <v>Best seller</v>
      </c>
      <c r="N281" s="22"/>
      <c r="O281" s="22"/>
      <c r="P281" s="22"/>
    </row>
    <row r="282" spans="1:16" x14ac:dyDescent="0.35">
      <c r="A282">
        <v>6918</v>
      </c>
      <c r="B282" t="s">
        <v>419</v>
      </c>
      <c r="C282" s="1">
        <v>45486</v>
      </c>
      <c r="D282" t="s">
        <v>28</v>
      </c>
      <c r="E282" t="s">
        <v>1</v>
      </c>
      <c r="F282" s="6">
        <v>177881</v>
      </c>
      <c r="G282">
        <v>3</v>
      </c>
      <c r="H282" s="6">
        <v>533643</v>
      </c>
      <c r="I282" t="s">
        <v>826</v>
      </c>
      <c r="J282" t="s">
        <v>4</v>
      </c>
      <c r="K282" t="s">
        <v>602</v>
      </c>
      <c r="L282" t="str">
        <f>IF(Base_ventas[[#This Row],[Método_pago]]="Efectivo","Efectivo","Electrónico")</f>
        <v>Electrónico</v>
      </c>
      <c r="M282" t="str">
        <f t="shared" si="4"/>
        <v>Venta promedio</v>
      </c>
      <c r="N282" s="22"/>
      <c r="O282" s="22"/>
      <c r="P282" s="22"/>
    </row>
    <row r="283" spans="1:16" x14ac:dyDescent="0.35">
      <c r="A283">
        <v>5360</v>
      </c>
      <c r="B283" t="s">
        <v>420</v>
      </c>
      <c r="C283" s="1">
        <v>45486</v>
      </c>
      <c r="D283" t="s">
        <v>28</v>
      </c>
      <c r="E283" t="s">
        <v>1</v>
      </c>
      <c r="F283" s="6">
        <v>177881</v>
      </c>
      <c r="G283">
        <v>1</v>
      </c>
      <c r="H283" s="6">
        <v>177881</v>
      </c>
      <c r="I283" t="s">
        <v>827</v>
      </c>
      <c r="J283" t="s">
        <v>3</v>
      </c>
      <c r="K283" t="s">
        <v>545</v>
      </c>
      <c r="L283" t="str">
        <f>IF(Base_ventas[[#This Row],[Método_pago]]="Efectivo","Efectivo","Electrónico")</f>
        <v>Electrónico</v>
      </c>
      <c r="M283" t="str">
        <f t="shared" si="4"/>
        <v>Venta promedio</v>
      </c>
      <c r="N283" s="22"/>
      <c r="O283" s="22"/>
      <c r="P283" s="22"/>
    </row>
    <row r="284" spans="1:16" x14ac:dyDescent="0.35">
      <c r="A284">
        <v>3756</v>
      </c>
      <c r="B284" t="s">
        <v>421</v>
      </c>
      <c r="C284" s="1">
        <v>45486</v>
      </c>
      <c r="D284" t="s">
        <v>28</v>
      </c>
      <c r="E284" t="s">
        <v>1</v>
      </c>
      <c r="F284" s="6">
        <v>177881</v>
      </c>
      <c r="G284">
        <v>1</v>
      </c>
      <c r="H284" s="6">
        <v>177881</v>
      </c>
      <c r="I284" t="s">
        <v>828</v>
      </c>
      <c r="J284" t="s">
        <v>1608</v>
      </c>
      <c r="K284" t="s">
        <v>541</v>
      </c>
      <c r="L284" t="str">
        <f>IF(Base_ventas[[#This Row],[Método_pago]]="Efectivo","Efectivo","Electrónico")</f>
        <v>Electrónico</v>
      </c>
      <c r="M284" t="str">
        <f t="shared" si="4"/>
        <v>Venta promedio</v>
      </c>
      <c r="N284" s="22"/>
      <c r="O284" s="22"/>
      <c r="P284" s="22"/>
    </row>
    <row r="285" spans="1:16" x14ac:dyDescent="0.35">
      <c r="A285">
        <v>6510</v>
      </c>
      <c r="B285" t="s">
        <v>422</v>
      </c>
      <c r="C285" s="1">
        <v>45486</v>
      </c>
      <c r="D285" t="s">
        <v>30</v>
      </c>
      <c r="E285" t="s">
        <v>1</v>
      </c>
      <c r="F285" s="6">
        <v>114971</v>
      </c>
      <c r="G285">
        <v>3</v>
      </c>
      <c r="H285" s="6">
        <v>344913</v>
      </c>
      <c r="I285" t="s">
        <v>829</v>
      </c>
      <c r="J285" t="s">
        <v>3</v>
      </c>
      <c r="K285" t="s">
        <v>541</v>
      </c>
      <c r="L285" t="str">
        <f>IF(Base_ventas[[#This Row],[Método_pago]]="Efectivo","Efectivo","Electrónico")</f>
        <v>Electrónico</v>
      </c>
      <c r="M285" t="str">
        <f t="shared" si="4"/>
        <v>Venta promedio</v>
      </c>
      <c r="N285" s="22"/>
      <c r="O285" s="22"/>
      <c r="P285" s="22"/>
    </row>
    <row r="286" spans="1:16" x14ac:dyDescent="0.35">
      <c r="A286">
        <v>1958</v>
      </c>
      <c r="B286" t="s">
        <v>205</v>
      </c>
      <c r="C286" s="1">
        <v>45487</v>
      </c>
      <c r="D286" t="s">
        <v>26</v>
      </c>
      <c r="E286" t="s">
        <v>25</v>
      </c>
      <c r="F286" s="6">
        <v>1844533</v>
      </c>
      <c r="G286">
        <v>3</v>
      </c>
      <c r="H286" s="6">
        <v>5533599</v>
      </c>
      <c r="I286" t="s">
        <v>830</v>
      </c>
      <c r="J286" t="s">
        <v>3</v>
      </c>
      <c r="K286" t="s">
        <v>541</v>
      </c>
      <c r="L286" t="str">
        <f>IF(Base_ventas[[#This Row],[Método_pago]]="Efectivo","Efectivo","Electrónico")</f>
        <v>Electrónico</v>
      </c>
      <c r="M286" t="str">
        <f t="shared" si="4"/>
        <v>Best seller</v>
      </c>
      <c r="N286" s="22"/>
      <c r="O286" s="22"/>
      <c r="P286" s="22"/>
    </row>
    <row r="287" spans="1:16" x14ac:dyDescent="0.35">
      <c r="A287">
        <v>5317</v>
      </c>
      <c r="B287" t="s">
        <v>423</v>
      </c>
      <c r="C287" s="1">
        <v>45488</v>
      </c>
      <c r="D287" t="s">
        <v>28</v>
      </c>
      <c r="E287" t="s">
        <v>1</v>
      </c>
      <c r="F287" s="6">
        <v>177881</v>
      </c>
      <c r="G287">
        <v>2</v>
      </c>
      <c r="H287" s="6">
        <v>355762</v>
      </c>
      <c r="I287" t="s">
        <v>831</v>
      </c>
      <c r="J287" t="s">
        <v>1608</v>
      </c>
      <c r="K287" t="s">
        <v>535</v>
      </c>
      <c r="L287" t="str">
        <f>IF(Base_ventas[[#This Row],[Método_pago]]="Efectivo","Efectivo","Electrónico")</f>
        <v>Electrónico</v>
      </c>
      <c r="M287" t="str">
        <f t="shared" si="4"/>
        <v>Venta promedio</v>
      </c>
      <c r="N287" s="22"/>
      <c r="O287" s="22"/>
      <c r="P287" s="22"/>
    </row>
    <row r="288" spans="1:16" x14ac:dyDescent="0.35">
      <c r="A288">
        <v>8579</v>
      </c>
      <c r="B288" t="s">
        <v>241</v>
      </c>
      <c r="C288" s="1">
        <v>45489</v>
      </c>
      <c r="D288" t="s">
        <v>28</v>
      </c>
      <c r="E288" t="s">
        <v>1</v>
      </c>
      <c r="F288" s="6">
        <v>177881</v>
      </c>
      <c r="G288">
        <v>2</v>
      </c>
      <c r="H288" s="6">
        <v>355762</v>
      </c>
      <c r="I288" t="s">
        <v>832</v>
      </c>
      <c r="J288" t="s">
        <v>2</v>
      </c>
      <c r="K288" t="s">
        <v>622</v>
      </c>
      <c r="L288" t="str">
        <f>IF(Base_ventas[[#This Row],[Método_pago]]="Efectivo","Efectivo","Electrónico")</f>
        <v>Efectivo</v>
      </c>
      <c r="M288" t="str">
        <f t="shared" si="4"/>
        <v>Venta promedio</v>
      </c>
      <c r="N288" s="22"/>
      <c r="O288" s="22"/>
      <c r="P288" s="22"/>
    </row>
    <row r="289" spans="1:16" x14ac:dyDescent="0.35">
      <c r="A289">
        <v>4743</v>
      </c>
      <c r="B289" t="s">
        <v>224</v>
      </c>
      <c r="C289" s="1">
        <v>45490</v>
      </c>
      <c r="D289" t="s">
        <v>28</v>
      </c>
      <c r="E289" t="s">
        <v>1</v>
      </c>
      <c r="F289" s="6">
        <v>177881</v>
      </c>
      <c r="G289">
        <v>2</v>
      </c>
      <c r="H289" s="6">
        <v>355762</v>
      </c>
      <c r="I289" t="s">
        <v>833</v>
      </c>
      <c r="J289" t="s">
        <v>1608</v>
      </c>
      <c r="K289" t="s">
        <v>602</v>
      </c>
      <c r="L289" t="str">
        <f>IF(Base_ventas[[#This Row],[Método_pago]]="Efectivo","Efectivo","Electrónico")</f>
        <v>Electrónico</v>
      </c>
      <c r="M289" t="str">
        <f t="shared" si="4"/>
        <v>Venta promedio</v>
      </c>
      <c r="N289" s="22"/>
      <c r="O289" s="22"/>
      <c r="P289" s="22"/>
    </row>
    <row r="290" spans="1:16" x14ac:dyDescent="0.35">
      <c r="A290">
        <v>5277</v>
      </c>
      <c r="B290" t="s">
        <v>424</v>
      </c>
      <c r="C290" s="1">
        <v>45490</v>
      </c>
      <c r="D290" t="s">
        <v>28</v>
      </c>
      <c r="E290" t="s">
        <v>1</v>
      </c>
      <c r="F290" s="6">
        <v>177881</v>
      </c>
      <c r="G290">
        <v>1</v>
      </c>
      <c r="H290" s="6">
        <v>177881</v>
      </c>
      <c r="I290" t="s">
        <v>834</v>
      </c>
      <c r="J290" t="s">
        <v>1608</v>
      </c>
      <c r="K290" t="s">
        <v>539</v>
      </c>
      <c r="L290" t="str">
        <f>IF(Base_ventas[[#This Row],[Método_pago]]="Efectivo","Efectivo","Electrónico")</f>
        <v>Electrónico</v>
      </c>
      <c r="M290" t="str">
        <f t="shared" si="4"/>
        <v>Venta promedio</v>
      </c>
      <c r="N290" s="22"/>
      <c r="O290" s="22"/>
      <c r="P290" s="22"/>
    </row>
    <row r="291" spans="1:16" x14ac:dyDescent="0.35">
      <c r="A291">
        <v>6802</v>
      </c>
      <c r="B291" t="s">
        <v>425</v>
      </c>
      <c r="C291" s="1">
        <v>45491</v>
      </c>
      <c r="D291" t="s">
        <v>26</v>
      </c>
      <c r="E291" t="s">
        <v>25</v>
      </c>
      <c r="F291" s="6">
        <v>1844533</v>
      </c>
      <c r="G291">
        <v>3</v>
      </c>
      <c r="H291" s="6">
        <v>5533599</v>
      </c>
      <c r="I291" t="s">
        <v>835</v>
      </c>
      <c r="J291" t="s">
        <v>3</v>
      </c>
      <c r="K291" t="s">
        <v>535</v>
      </c>
      <c r="L291" t="str">
        <f>IF(Base_ventas[[#This Row],[Método_pago]]="Efectivo","Efectivo","Electrónico")</f>
        <v>Electrónico</v>
      </c>
      <c r="M291" t="str">
        <f t="shared" si="4"/>
        <v>Best seller</v>
      </c>
      <c r="N291" s="22"/>
      <c r="O291" s="22"/>
      <c r="P291" s="22"/>
    </row>
    <row r="292" spans="1:16" x14ac:dyDescent="0.35">
      <c r="A292">
        <v>1841</v>
      </c>
      <c r="B292" t="s">
        <v>426</v>
      </c>
      <c r="C292" s="1">
        <v>45492</v>
      </c>
      <c r="D292" t="s">
        <v>24</v>
      </c>
      <c r="E292" t="s">
        <v>25</v>
      </c>
      <c r="F292" s="6">
        <v>707995</v>
      </c>
      <c r="G292">
        <v>1</v>
      </c>
      <c r="H292" s="6">
        <v>707995</v>
      </c>
      <c r="I292" t="s">
        <v>836</v>
      </c>
      <c r="J292" t="s">
        <v>1608</v>
      </c>
      <c r="K292" t="s">
        <v>533</v>
      </c>
      <c r="L292" t="str">
        <f>IF(Base_ventas[[#This Row],[Método_pago]]="Efectivo","Efectivo","Electrónico")</f>
        <v>Electrónico</v>
      </c>
      <c r="M292" t="str">
        <f t="shared" si="4"/>
        <v>Venta promedio</v>
      </c>
      <c r="N292" s="22"/>
      <c r="O292" s="22"/>
      <c r="P292" s="22"/>
    </row>
    <row r="293" spans="1:16" x14ac:dyDescent="0.35">
      <c r="A293">
        <v>4966</v>
      </c>
      <c r="B293" t="s">
        <v>212</v>
      </c>
      <c r="C293" s="1">
        <v>45492</v>
      </c>
      <c r="D293" t="s">
        <v>26</v>
      </c>
      <c r="E293" t="s">
        <v>25</v>
      </c>
      <c r="F293" s="6">
        <v>1844533</v>
      </c>
      <c r="G293">
        <v>1</v>
      </c>
      <c r="H293" s="6">
        <v>1844533</v>
      </c>
      <c r="I293" t="s">
        <v>837</v>
      </c>
      <c r="J293" t="s">
        <v>1608</v>
      </c>
      <c r="K293" t="s">
        <v>579</v>
      </c>
      <c r="L293" t="str">
        <f>IF(Base_ventas[[#This Row],[Método_pago]]="Efectivo","Efectivo","Electrónico")</f>
        <v>Electrónico</v>
      </c>
      <c r="M293" t="str">
        <f t="shared" si="4"/>
        <v>Venta promedio</v>
      </c>
      <c r="N293" s="22"/>
      <c r="O293" s="22"/>
      <c r="P293" s="22"/>
    </row>
    <row r="294" spans="1:16" x14ac:dyDescent="0.35">
      <c r="A294">
        <v>2039</v>
      </c>
      <c r="B294" t="s">
        <v>65</v>
      </c>
      <c r="C294" s="1">
        <v>45493</v>
      </c>
      <c r="D294" t="s">
        <v>30</v>
      </c>
      <c r="E294" t="s">
        <v>1</v>
      </c>
      <c r="F294" s="6">
        <v>114971</v>
      </c>
      <c r="G294">
        <v>2</v>
      </c>
      <c r="H294" s="6">
        <v>229942</v>
      </c>
      <c r="I294" t="s">
        <v>838</v>
      </c>
      <c r="J294" t="s">
        <v>4</v>
      </c>
      <c r="K294" t="s">
        <v>535</v>
      </c>
      <c r="L294" t="str">
        <f>IF(Base_ventas[[#This Row],[Método_pago]]="Efectivo","Efectivo","Electrónico")</f>
        <v>Electrónico</v>
      </c>
      <c r="M294" t="str">
        <f t="shared" si="4"/>
        <v>Venta promedio</v>
      </c>
      <c r="N294" s="22"/>
      <c r="O294" s="22"/>
      <c r="P294" s="22"/>
    </row>
    <row r="295" spans="1:16" x14ac:dyDescent="0.35">
      <c r="A295">
        <v>1922</v>
      </c>
      <c r="B295" t="s">
        <v>427</v>
      </c>
      <c r="C295" s="1">
        <v>45494</v>
      </c>
      <c r="D295" t="s">
        <v>28</v>
      </c>
      <c r="E295" t="s">
        <v>1</v>
      </c>
      <c r="F295" s="6">
        <v>177881</v>
      </c>
      <c r="G295">
        <v>3</v>
      </c>
      <c r="H295" s="6">
        <v>533643</v>
      </c>
      <c r="I295" t="s">
        <v>839</v>
      </c>
      <c r="J295" t="s">
        <v>1608</v>
      </c>
      <c r="K295" t="s">
        <v>543</v>
      </c>
      <c r="L295" t="str">
        <f>IF(Base_ventas[[#This Row],[Método_pago]]="Efectivo","Efectivo","Electrónico")</f>
        <v>Electrónico</v>
      </c>
      <c r="M295" t="str">
        <f t="shared" si="4"/>
        <v>Venta promedio</v>
      </c>
      <c r="N295" s="22"/>
      <c r="O295" s="22"/>
      <c r="P295" s="22"/>
    </row>
    <row r="296" spans="1:16" x14ac:dyDescent="0.35">
      <c r="A296">
        <v>7870</v>
      </c>
      <c r="B296" t="s">
        <v>428</v>
      </c>
      <c r="C296" s="1">
        <v>45494</v>
      </c>
      <c r="D296" t="s">
        <v>26</v>
      </c>
      <c r="E296" t="s">
        <v>25</v>
      </c>
      <c r="F296" s="6">
        <v>1844533</v>
      </c>
      <c r="G296">
        <v>3</v>
      </c>
      <c r="H296" s="6">
        <v>5533599</v>
      </c>
      <c r="I296" t="s">
        <v>840</v>
      </c>
      <c r="J296" t="s">
        <v>1608</v>
      </c>
      <c r="K296" t="s">
        <v>539</v>
      </c>
      <c r="L296" t="str">
        <f>IF(Base_ventas[[#This Row],[Método_pago]]="Efectivo","Efectivo","Electrónico")</f>
        <v>Electrónico</v>
      </c>
      <c r="M296" t="str">
        <f t="shared" si="4"/>
        <v>Best seller</v>
      </c>
      <c r="N296" s="22"/>
      <c r="O296" s="22"/>
      <c r="P296" s="22"/>
    </row>
    <row r="297" spans="1:16" x14ac:dyDescent="0.35">
      <c r="A297">
        <v>5089</v>
      </c>
      <c r="B297" t="s">
        <v>429</v>
      </c>
      <c r="C297" s="1">
        <v>45495</v>
      </c>
      <c r="D297" t="s">
        <v>26</v>
      </c>
      <c r="E297" t="s">
        <v>25</v>
      </c>
      <c r="F297" s="6">
        <v>1844533</v>
      </c>
      <c r="G297">
        <v>1</v>
      </c>
      <c r="H297" s="6">
        <v>1844533</v>
      </c>
      <c r="I297" t="s">
        <v>841</v>
      </c>
      <c r="J297" t="s">
        <v>3</v>
      </c>
      <c r="K297" t="s">
        <v>579</v>
      </c>
      <c r="L297" t="str">
        <f>IF(Base_ventas[[#This Row],[Método_pago]]="Efectivo","Efectivo","Electrónico")</f>
        <v>Electrónico</v>
      </c>
      <c r="M297" t="str">
        <f t="shared" si="4"/>
        <v>Venta promedio</v>
      </c>
      <c r="N297" s="22"/>
      <c r="O297" s="22"/>
      <c r="P297" s="22"/>
    </row>
    <row r="298" spans="1:16" x14ac:dyDescent="0.35">
      <c r="A298">
        <v>8232</v>
      </c>
      <c r="B298" t="s">
        <v>430</v>
      </c>
      <c r="C298" s="1">
        <v>45495</v>
      </c>
      <c r="D298" t="s">
        <v>28</v>
      </c>
      <c r="E298" t="s">
        <v>1</v>
      </c>
      <c r="F298" s="6">
        <v>177881</v>
      </c>
      <c r="G298">
        <v>3</v>
      </c>
      <c r="H298" s="6">
        <v>533643</v>
      </c>
      <c r="I298" t="s">
        <v>842</v>
      </c>
      <c r="J298" t="s">
        <v>1608</v>
      </c>
      <c r="K298" t="s">
        <v>533</v>
      </c>
      <c r="L298" t="str">
        <f>IF(Base_ventas[[#This Row],[Método_pago]]="Efectivo","Efectivo","Electrónico")</f>
        <v>Electrónico</v>
      </c>
      <c r="M298" t="str">
        <f t="shared" si="4"/>
        <v>Venta promedio</v>
      </c>
      <c r="N298" s="22"/>
      <c r="O298" s="22"/>
      <c r="P298" s="22"/>
    </row>
    <row r="299" spans="1:16" x14ac:dyDescent="0.35">
      <c r="A299">
        <v>9039</v>
      </c>
      <c r="B299" t="s">
        <v>259</v>
      </c>
      <c r="C299" s="1">
        <v>45495</v>
      </c>
      <c r="D299" t="s">
        <v>28</v>
      </c>
      <c r="E299" t="s">
        <v>1</v>
      </c>
      <c r="F299" s="6">
        <v>177881</v>
      </c>
      <c r="G299">
        <v>2</v>
      </c>
      <c r="H299" s="6">
        <v>355762</v>
      </c>
      <c r="I299" t="s">
        <v>843</v>
      </c>
      <c r="J299" t="s">
        <v>3</v>
      </c>
      <c r="K299" t="s">
        <v>545</v>
      </c>
      <c r="L299" t="str">
        <f>IF(Base_ventas[[#This Row],[Método_pago]]="Efectivo","Efectivo","Electrónico")</f>
        <v>Electrónico</v>
      </c>
      <c r="M299" t="str">
        <f t="shared" si="4"/>
        <v>Venta promedio</v>
      </c>
      <c r="N299" s="22"/>
      <c r="O299" s="22"/>
      <c r="P299" s="22"/>
    </row>
    <row r="300" spans="1:16" x14ac:dyDescent="0.35">
      <c r="A300">
        <v>5607</v>
      </c>
      <c r="B300" t="s">
        <v>77</v>
      </c>
      <c r="C300" s="1">
        <v>45496</v>
      </c>
      <c r="D300" t="s">
        <v>28</v>
      </c>
      <c r="E300" t="s">
        <v>1</v>
      </c>
      <c r="F300" s="6">
        <v>177881</v>
      </c>
      <c r="G300">
        <v>1</v>
      </c>
      <c r="H300" s="6">
        <v>177881</v>
      </c>
      <c r="I300" t="s">
        <v>844</v>
      </c>
      <c r="J300" t="s">
        <v>3</v>
      </c>
      <c r="K300" t="s">
        <v>561</v>
      </c>
      <c r="L300" t="str">
        <f>IF(Base_ventas[[#This Row],[Método_pago]]="Efectivo","Efectivo","Electrónico")</f>
        <v>Electrónico</v>
      </c>
      <c r="M300" t="str">
        <f t="shared" si="4"/>
        <v>Venta promedio</v>
      </c>
      <c r="N300" s="22"/>
      <c r="O300" s="22"/>
      <c r="P300" s="22"/>
    </row>
    <row r="301" spans="1:16" x14ac:dyDescent="0.35">
      <c r="A301">
        <v>8184</v>
      </c>
      <c r="B301" t="s">
        <v>135</v>
      </c>
      <c r="C301" s="1">
        <v>45498</v>
      </c>
      <c r="D301" t="s">
        <v>26</v>
      </c>
      <c r="E301" t="s">
        <v>25</v>
      </c>
      <c r="F301" s="6">
        <v>1844533</v>
      </c>
      <c r="G301">
        <v>1</v>
      </c>
      <c r="H301" s="6">
        <v>1844533</v>
      </c>
      <c r="I301" t="s">
        <v>845</v>
      </c>
      <c r="J301" t="s">
        <v>2</v>
      </c>
      <c r="K301" t="s">
        <v>561</v>
      </c>
      <c r="L301" t="str">
        <f>IF(Base_ventas[[#This Row],[Método_pago]]="Efectivo","Efectivo","Electrónico")</f>
        <v>Efectivo</v>
      </c>
      <c r="M301" t="str">
        <f t="shared" si="4"/>
        <v>Venta promedio</v>
      </c>
      <c r="N301" s="22"/>
      <c r="O301" s="22"/>
      <c r="P301" s="22"/>
    </row>
    <row r="302" spans="1:16" x14ac:dyDescent="0.35">
      <c r="A302">
        <v>6565</v>
      </c>
      <c r="B302" t="s">
        <v>235</v>
      </c>
      <c r="C302" s="1">
        <v>45498</v>
      </c>
      <c r="D302" t="s">
        <v>26</v>
      </c>
      <c r="E302" t="s">
        <v>25</v>
      </c>
      <c r="F302" s="6">
        <v>1844533</v>
      </c>
      <c r="G302">
        <v>2</v>
      </c>
      <c r="H302" s="6">
        <v>3689066</v>
      </c>
      <c r="I302" t="s">
        <v>846</v>
      </c>
      <c r="J302" t="s">
        <v>2</v>
      </c>
      <c r="K302" t="s">
        <v>577</v>
      </c>
      <c r="L302" t="str">
        <f>IF(Base_ventas[[#This Row],[Método_pago]]="Efectivo","Efectivo","Electrónico")</f>
        <v>Efectivo</v>
      </c>
      <c r="M302" t="str">
        <f t="shared" si="4"/>
        <v>Venta promedio</v>
      </c>
      <c r="N302" s="22"/>
      <c r="O302" s="22"/>
      <c r="P302" s="22"/>
    </row>
    <row r="303" spans="1:16" x14ac:dyDescent="0.35">
      <c r="A303">
        <v>6417</v>
      </c>
      <c r="B303" t="s">
        <v>70</v>
      </c>
      <c r="C303" s="1">
        <v>45499</v>
      </c>
      <c r="D303" t="s">
        <v>28</v>
      </c>
      <c r="E303" t="s">
        <v>1</v>
      </c>
      <c r="F303" s="6">
        <v>177881</v>
      </c>
      <c r="G303">
        <v>1</v>
      </c>
      <c r="H303" s="6">
        <v>177881</v>
      </c>
      <c r="I303" t="s">
        <v>847</v>
      </c>
      <c r="J303" t="s">
        <v>2</v>
      </c>
      <c r="K303" t="s">
        <v>581</v>
      </c>
      <c r="L303" t="str">
        <f>IF(Base_ventas[[#This Row],[Método_pago]]="Efectivo","Efectivo","Electrónico")</f>
        <v>Efectivo</v>
      </c>
      <c r="M303" t="str">
        <f t="shared" si="4"/>
        <v>Venta promedio</v>
      </c>
      <c r="N303" s="22"/>
      <c r="O303" s="22"/>
      <c r="P303" s="22"/>
    </row>
    <row r="304" spans="1:16" x14ac:dyDescent="0.35">
      <c r="A304">
        <v>9133</v>
      </c>
      <c r="B304" t="s">
        <v>159</v>
      </c>
      <c r="C304" s="1">
        <v>45500</v>
      </c>
      <c r="D304" t="s">
        <v>30</v>
      </c>
      <c r="E304" t="s">
        <v>1</v>
      </c>
      <c r="F304" s="6">
        <v>114971</v>
      </c>
      <c r="G304">
        <v>2</v>
      </c>
      <c r="H304" s="6">
        <v>229942</v>
      </c>
      <c r="I304" t="s">
        <v>848</v>
      </c>
      <c r="J304" t="s">
        <v>3</v>
      </c>
      <c r="K304" t="s">
        <v>571</v>
      </c>
      <c r="L304" t="str">
        <f>IF(Base_ventas[[#This Row],[Método_pago]]="Efectivo","Efectivo","Electrónico")</f>
        <v>Electrónico</v>
      </c>
      <c r="M304" t="str">
        <f t="shared" si="4"/>
        <v>Venta promedio</v>
      </c>
      <c r="N304" s="22"/>
      <c r="O304" s="22"/>
      <c r="P304" s="22"/>
    </row>
    <row r="305" spans="1:16" x14ac:dyDescent="0.35">
      <c r="A305">
        <v>6069</v>
      </c>
      <c r="B305" t="s">
        <v>431</v>
      </c>
      <c r="C305" s="1">
        <v>45501</v>
      </c>
      <c r="D305" t="s">
        <v>22</v>
      </c>
      <c r="E305" t="s">
        <v>23</v>
      </c>
      <c r="F305" s="6">
        <v>741722</v>
      </c>
      <c r="G305">
        <v>2</v>
      </c>
      <c r="H305" s="6">
        <v>1483444</v>
      </c>
      <c r="I305" t="s">
        <v>849</v>
      </c>
      <c r="J305" t="s">
        <v>4</v>
      </c>
      <c r="K305" t="s">
        <v>537</v>
      </c>
      <c r="L305" t="str">
        <f>IF(Base_ventas[[#This Row],[Método_pago]]="Efectivo","Efectivo","Electrónico")</f>
        <v>Electrónico</v>
      </c>
      <c r="M305" t="str">
        <f t="shared" si="4"/>
        <v>Venta promedio</v>
      </c>
      <c r="N305" s="22"/>
      <c r="O305" s="22"/>
      <c r="P305" s="22"/>
    </row>
    <row r="306" spans="1:16" x14ac:dyDescent="0.35">
      <c r="A306">
        <v>9113</v>
      </c>
      <c r="B306" t="s">
        <v>225</v>
      </c>
      <c r="C306" s="1">
        <v>45503</v>
      </c>
      <c r="D306" t="s">
        <v>24</v>
      </c>
      <c r="E306" t="s">
        <v>25</v>
      </c>
      <c r="F306" s="6">
        <v>707995</v>
      </c>
      <c r="G306">
        <v>2</v>
      </c>
      <c r="H306" s="6">
        <v>1415990</v>
      </c>
      <c r="I306" t="s">
        <v>850</v>
      </c>
      <c r="J306" t="s">
        <v>2</v>
      </c>
      <c r="K306" t="s">
        <v>571</v>
      </c>
      <c r="L306" t="str">
        <f>IF(Base_ventas[[#This Row],[Método_pago]]="Efectivo","Efectivo","Electrónico")</f>
        <v>Efectivo</v>
      </c>
      <c r="M306" t="str">
        <f t="shared" si="4"/>
        <v>Venta promedio</v>
      </c>
      <c r="N306" s="22"/>
      <c r="O306" s="22"/>
      <c r="P306" s="22"/>
    </row>
    <row r="307" spans="1:16" x14ac:dyDescent="0.35">
      <c r="A307">
        <v>1209</v>
      </c>
      <c r="B307" t="s">
        <v>432</v>
      </c>
      <c r="C307" s="1">
        <v>45503</v>
      </c>
      <c r="D307" t="s">
        <v>28</v>
      </c>
      <c r="E307" t="s">
        <v>1</v>
      </c>
      <c r="F307" s="6">
        <v>177881</v>
      </c>
      <c r="G307">
        <v>2</v>
      </c>
      <c r="H307" s="6">
        <v>355762</v>
      </c>
      <c r="I307" t="s">
        <v>851</v>
      </c>
      <c r="J307" t="s">
        <v>4</v>
      </c>
      <c r="K307" t="s">
        <v>535</v>
      </c>
      <c r="L307" t="str">
        <f>IF(Base_ventas[[#This Row],[Método_pago]]="Efectivo","Efectivo","Electrónico")</f>
        <v>Electrónico</v>
      </c>
      <c r="M307" t="str">
        <f t="shared" si="4"/>
        <v>Venta promedio</v>
      </c>
      <c r="N307" s="22"/>
      <c r="O307" s="22"/>
      <c r="P307" s="22"/>
    </row>
    <row r="308" spans="1:16" x14ac:dyDescent="0.35">
      <c r="A308">
        <v>7690</v>
      </c>
      <c r="B308" t="s">
        <v>433</v>
      </c>
      <c r="C308" s="1">
        <v>45503</v>
      </c>
      <c r="D308" t="s">
        <v>30</v>
      </c>
      <c r="E308" t="s">
        <v>1</v>
      </c>
      <c r="F308" s="6">
        <v>114971</v>
      </c>
      <c r="G308">
        <v>1</v>
      </c>
      <c r="H308" s="6">
        <v>114971</v>
      </c>
      <c r="I308" t="s">
        <v>852</v>
      </c>
      <c r="J308" t="s">
        <v>1608</v>
      </c>
      <c r="K308" t="s">
        <v>541</v>
      </c>
      <c r="L308" t="str">
        <f>IF(Base_ventas[[#This Row],[Método_pago]]="Efectivo","Efectivo","Electrónico")</f>
        <v>Electrónico</v>
      </c>
      <c r="M308" t="str">
        <f t="shared" si="4"/>
        <v>Venta promedio</v>
      </c>
      <c r="N308" s="22"/>
      <c r="O308" s="22"/>
      <c r="P308" s="22"/>
    </row>
    <row r="309" spans="1:16" x14ac:dyDescent="0.35">
      <c r="A309">
        <v>6197</v>
      </c>
      <c r="B309" t="s">
        <v>434</v>
      </c>
      <c r="C309" s="1">
        <v>45504</v>
      </c>
      <c r="D309" t="s">
        <v>24</v>
      </c>
      <c r="E309" t="s">
        <v>25</v>
      </c>
      <c r="F309" s="6">
        <v>707995</v>
      </c>
      <c r="G309">
        <v>2</v>
      </c>
      <c r="H309" s="6">
        <v>1415990</v>
      </c>
      <c r="I309" t="s">
        <v>853</v>
      </c>
      <c r="J309" t="s">
        <v>3</v>
      </c>
      <c r="K309" t="s">
        <v>579</v>
      </c>
      <c r="L309" t="str">
        <f>IF(Base_ventas[[#This Row],[Método_pago]]="Efectivo","Efectivo","Electrónico")</f>
        <v>Electrónico</v>
      </c>
      <c r="M309" t="str">
        <f t="shared" si="4"/>
        <v>Venta promedio</v>
      </c>
      <c r="N309" s="22"/>
      <c r="O309" s="22"/>
      <c r="P309" s="22"/>
    </row>
    <row r="310" spans="1:16" x14ac:dyDescent="0.35">
      <c r="A310">
        <v>7408</v>
      </c>
      <c r="B310" t="s">
        <v>139</v>
      </c>
      <c r="C310" s="1">
        <v>45504</v>
      </c>
      <c r="D310" t="s">
        <v>28</v>
      </c>
      <c r="E310" t="s">
        <v>1</v>
      </c>
      <c r="F310" s="6">
        <v>177881</v>
      </c>
      <c r="G310">
        <v>1</v>
      </c>
      <c r="H310" s="6">
        <v>177881</v>
      </c>
      <c r="I310" t="s">
        <v>854</v>
      </c>
      <c r="J310" t="s">
        <v>1608</v>
      </c>
      <c r="K310" t="s">
        <v>533</v>
      </c>
      <c r="L310" t="str">
        <f>IF(Base_ventas[[#This Row],[Método_pago]]="Efectivo","Efectivo","Electrónico")</f>
        <v>Electrónico</v>
      </c>
      <c r="M310" t="str">
        <f t="shared" si="4"/>
        <v>Venta promedio</v>
      </c>
      <c r="N310" s="22"/>
      <c r="O310" s="22"/>
      <c r="P310" s="22"/>
    </row>
    <row r="311" spans="1:16" x14ac:dyDescent="0.35">
      <c r="A311">
        <v>8128</v>
      </c>
      <c r="B311" t="s">
        <v>216</v>
      </c>
      <c r="C311" s="1">
        <v>45505</v>
      </c>
      <c r="D311" t="s">
        <v>30</v>
      </c>
      <c r="E311" t="s">
        <v>1</v>
      </c>
      <c r="F311" s="6">
        <v>114971</v>
      </c>
      <c r="G311">
        <v>3</v>
      </c>
      <c r="H311" s="6">
        <v>344913</v>
      </c>
      <c r="I311" t="s">
        <v>855</v>
      </c>
      <c r="J311" t="s">
        <v>2</v>
      </c>
      <c r="K311" t="s">
        <v>579</v>
      </c>
      <c r="L311" t="str">
        <f>IF(Base_ventas[[#This Row],[Método_pago]]="Efectivo","Efectivo","Electrónico")</f>
        <v>Efectivo</v>
      </c>
      <c r="M311" t="str">
        <f t="shared" si="4"/>
        <v>Venta promedio</v>
      </c>
      <c r="N311" s="22"/>
      <c r="O311" s="22"/>
      <c r="P311" s="22"/>
    </row>
    <row r="312" spans="1:16" x14ac:dyDescent="0.35">
      <c r="A312">
        <v>1889</v>
      </c>
      <c r="B312" t="s">
        <v>435</v>
      </c>
      <c r="C312" s="1">
        <v>45505</v>
      </c>
      <c r="D312" t="s">
        <v>22</v>
      </c>
      <c r="E312" t="s">
        <v>23</v>
      </c>
      <c r="F312" s="6">
        <v>741722</v>
      </c>
      <c r="G312">
        <v>1</v>
      </c>
      <c r="H312" s="6">
        <v>741722</v>
      </c>
      <c r="I312" t="s">
        <v>856</v>
      </c>
      <c r="J312" t="s">
        <v>3</v>
      </c>
      <c r="K312" t="s">
        <v>602</v>
      </c>
      <c r="L312" t="str">
        <f>IF(Base_ventas[[#This Row],[Método_pago]]="Efectivo","Efectivo","Electrónico")</f>
        <v>Electrónico</v>
      </c>
      <c r="M312" t="str">
        <f t="shared" si="4"/>
        <v>Venta promedio</v>
      </c>
      <c r="N312" s="22"/>
      <c r="O312" s="22"/>
      <c r="P312" s="22"/>
    </row>
    <row r="313" spans="1:16" x14ac:dyDescent="0.35">
      <c r="A313">
        <v>7016</v>
      </c>
      <c r="B313" t="s">
        <v>96</v>
      </c>
      <c r="C313" s="1">
        <v>45505</v>
      </c>
      <c r="D313" t="s">
        <v>28</v>
      </c>
      <c r="E313" t="s">
        <v>1</v>
      </c>
      <c r="F313" s="6">
        <v>177881</v>
      </c>
      <c r="G313">
        <v>2</v>
      </c>
      <c r="H313" s="6">
        <v>355762</v>
      </c>
      <c r="I313" t="s">
        <v>857</v>
      </c>
      <c r="J313" t="s">
        <v>4</v>
      </c>
      <c r="K313" t="s">
        <v>535</v>
      </c>
      <c r="L313" t="str">
        <f>IF(Base_ventas[[#This Row],[Método_pago]]="Efectivo","Efectivo","Electrónico")</f>
        <v>Electrónico</v>
      </c>
      <c r="M313" t="str">
        <f t="shared" si="4"/>
        <v>Venta promedio</v>
      </c>
      <c r="N313" s="22"/>
      <c r="O313" s="22"/>
      <c r="P313" s="22"/>
    </row>
    <row r="314" spans="1:16" x14ac:dyDescent="0.35">
      <c r="A314">
        <v>6387</v>
      </c>
      <c r="B314" t="s">
        <v>198</v>
      </c>
      <c r="C314" s="1">
        <v>45506</v>
      </c>
      <c r="D314" t="s">
        <v>24</v>
      </c>
      <c r="E314" t="s">
        <v>25</v>
      </c>
      <c r="F314" s="6">
        <v>707995</v>
      </c>
      <c r="G314">
        <v>1</v>
      </c>
      <c r="H314" s="6">
        <v>707995</v>
      </c>
      <c r="I314" t="s">
        <v>858</v>
      </c>
      <c r="J314" t="s">
        <v>4</v>
      </c>
      <c r="K314" t="s">
        <v>541</v>
      </c>
      <c r="L314" t="str">
        <f>IF(Base_ventas[[#This Row],[Método_pago]]="Efectivo","Efectivo","Electrónico")</f>
        <v>Electrónico</v>
      </c>
      <c r="M314" t="str">
        <f t="shared" si="4"/>
        <v>Venta promedio</v>
      </c>
      <c r="N314" s="22"/>
      <c r="O314" s="22"/>
      <c r="P314" s="22"/>
    </row>
    <row r="315" spans="1:16" x14ac:dyDescent="0.35">
      <c r="A315">
        <v>9593</v>
      </c>
      <c r="B315" t="s">
        <v>436</v>
      </c>
      <c r="C315" s="1">
        <v>45508</v>
      </c>
      <c r="D315" t="s">
        <v>26</v>
      </c>
      <c r="E315" t="s">
        <v>25</v>
      </c>
      <c r="F315" s="6">
        <v>1844533</v>
      </c>
      <c r="G315">
        <v>2</v>
      </c>
      <c r="H315" s="6">
        <v>3689066</v>
      </c>
      <c r="I315" t="s">
        <v>859</v>
      </c>
      <c r="J315" t="s">
        <v>4</v>
      </c>
      <c r="K315" t="s">
        <v>545</v>
      </c>
      <c r="L315" t="str">
        <f>IF(Base_ventas[[#This Row],[Método_pago]]="Efectivo","Efectivo","Electrónico")</f>
        <v>Electrónico</v>
      </c>
      <c r="M315" t="str">
        <f t="shared" si="4"/>
        <v>Venta promedio</v>
      </c>
      <c r="N315" s="22"/>
      <c r="O315" s="22"/>
      <c r="P315" s="22"/>
    </row>
    <row r="316" spans="1:16" x14ac:dyDescent="0.35">
      <c r="A316">
        <v>5178</v>
      </c>
      <c r="B316" t="s">
        <v>258</v>
      </c>
      <c r="C316" s="1">
        <v>45508</v>
      </c>
      <c r="D316" t="s">
        <v>22</v>
      </c>
      <c r="E316" t="s">
        <v>23</v>
      </c>
      <c r="F316" s="6">
        <v>741722</v>
      </c>
      <c r="G316">
        <v>1</v>
      </c>
      <c r="H316" s="6">
        <v>741722</v>
      </c>
      <c r="I316" t="s">
        <v>860</v>
      </c>
      <c r="J316" t="s">
        <v>2</v>
      </c>
      <c r="K316" t="s">
        <v>577</v>
      </c>
      <c r="L316" t="str">
        <f>IF(Base_ventas[[#This Row],[Método_pago]]="Efectivo","Efectivo","Electrónico")</f>
        <v>Efectivo</v>
      </c>
      <c r="M316" t="str">
        <f t="shared" si="4"/>
        <v>Venta promedio</v>
      </c>
      <c r="N316" s="22"/>
      <c r="O316" s="22"/>
      <c r="P316" s="22"/>
    </row>
    <row r="317" spans="1:16" x14ac:dyDescent="0.35">
      <c r="A317">
        <v>2760</v>
      </c>
      <c r="B317" t="s">
        <v>21</v>
      </c>
      <c r="C317" s="1">
        <v>45508</v>
      </c>
      <c r="D317" t="s">
        <v>28</v>
      </c>
      <c r="E317" t="s">
        <v>1</v>
      </c>
      <c r="F317" s="6">
        <v>177881</v>
      </c>
      <c r="G317">
        <v>3</v>
      </c>
      <c r="H317" s="6">
        <v>533643</v>
      </c>
      <c r="I317" t="s">
        <v>861</v>
      </c>
      <c r="J317" t="s">
        <v>1608</v>
      </c>
      <c r="K317" t="s">
        <v>533</v>
      </c>
      <c r="L317" t="str">
        <f>IF(Base_ventas[[#This Row],[Método_pago]]="Efectivo","Efectivo","Electrónico")</f>
        <v>Electrónico</v>
      </c>
      <c r="M317" t="str">
        <f t="shared" si="4"/>
        <v>Venta promedio</v>
      </c>
      <c r="N317" s="22"/>
      <c r="O317" s="22"/>
      <c r="P317" s="22"/>
    </row>
    <row r="318" spans="1:16" x14ac:dyDescent="0.35">
      <c r="A318">
        <v>2367</v>
      </c>
      <c r="B318" t="s">
        <v>119</v>
      </c>
      <c r="C318" s="1">
        <v>45508</v>
      </c>
      <c r="D318" t="s">
        <v>26</v>
      </c>
      <c r="E318" t="s">
        <v>25</v>
      </c>
      <c r="F318" s="6">
        <v>1844533</v>
      </c>
      <c r="G318">
        <v>1</v>
      </c>
      <c r="H318" s="6">
        <v>1844533</v>
      </c>
      <c r="I318" t="s">
        <v>862</v>
      </c>
      <c r="J318" t="s">
        <v>4</v>
      </c>
      <c r="K318" t="s">
        <v>543</v>
      </c>
      <c r="L318" t="str">
        <f>IF(Base_ventas[[#This Row],[Método_pago]]="Efectivo","Efectivo","Electrónico")</f>
        <v>Electrónico</v>
      </c>
      <c r="M318" t="str">
        <f t="shared" si="4"/>
        <v>Venta promedio</v>
      </c>
      <c r="N318" s="22"/>
      <c r="O318" s="22"/>
      <c r="P318" s="22"/>
    </row>
    <row r="319" spans="1:16" x14ac:dyDescent="0.35">
      <c r="A319">
        <v>4400</v>
      </c>
      <c r="B319" t="s">
        <v>437</v>
      </c>
      <c r="C319" s="1">
        <v>45508</v>
      </c>
      <c r="D319" t="s">
        <v>28</v>
      </c>
      <c r="E319" t="s">
        <v>1</v>
      </c>
      <c r="F319" s="6">
        <v>177881</v>
      </c>
      <c r="G319">
        <v>3</v>
      </c>
      <c r="H319" s="6">
        <v>533643</v>
      </c>
      <c r="I319" t="s">
        <v>863</v>
      </c>
      <c r="J319" t="s">
        <v>1608</v>
      </c>
      <c r="K319" t="s">
        <v>541</v>
      </c>
      <c r="L319" t="str">
        <f>IF(Base_ventas[[#This Row],[Método_pago]]="Efectivo","Efectivo","Electrónico")</f>
        <v>Electrónico</v>
      </c>
      <c r="M319" t="str">
        <f t="shared" si="4"/>
        <v>Venta promedio</v>
      </c>
      <c r="N319" s="22"/>
      <c r="O319" s="22"/>
      <c r="P319" s="22"/>
    </row>
    <row r="320" spans="1:16" x14ac:dyDescent="0.35">
      <c r="A320">
        <v>2008</v>
      </c>
      <c r="B320" t="s">
        <v>215</v>
      </c>
      <c r="C320" s="1">
        <v>45508</v>
      </c>
      <c r="D320" t="s">
        <v>22</v>
      </c>
      <c r="E320" t="s">
        <v>23</v>
      </c>
      <c r="F320" s="6">
        <v>741722</v>
      </c>
      <c r="G320">
        <v>2</v>
      </c>
      <c r="H320" s="6">
        <v>1483444</v>
      </c>
      <c r="I320" t="s">
        <v>864</v>
      </c>
      <c r="J320" t="s">
        <v>3</v>
      </c>
      <c r="K320" t="s">
        <v>577</v>
      </c>
      <c r="L320" t="str">
        <f>IF(Base_ventas[[#This Row],[Método_pago]]="Efectivo","Efectivo","Electrónico")</f>
        <v>Electrónico</v>
      </c>
      <c r="M320" t="str">
        <f t="shared" si="4"/>
        <v>Venta promedio</v>
      </c>
      <c r="N320" s="22"/>
      <c r="O320" s="22"/>
      <c r="P320" s="22"/>
    </row>
    <row r="321" spans="1:16" x14ac:dyDescent="0.35">
      <c r="A321">
        <v>1160</v>
      </c>
      <c r="B321" t="s">
        <v>31</v>
      </c>
      <c r="C321" s="1">
        <v>45509</v>
      </c>
      <c r="D321" t="s">
        <v>22</v>
      </c>
      <c r="E321" t="s">
        <v>23</v>
      </c>
      <c r="F321" s="6">
        <v>741722</v>
      </c>
      <c r="G321">
        <v>1</v>
      </c>
      <c r="H321" s="6">
        <v>741722</v>
      </c>
      <c r="I321" t="s">
        <v>865</v>
      </c>
      <c r="J321" t="s">
        <v>1608</v>
      </c>
      <c r="K321" t="s">
        <v>561</v>
      </c>
      <c r="L321" t="str">
        <f>IF(Base_ventas[[#This Row],[Método_pago]]="Efectivo","Efectivo","Electrónico")</f>
        <v>Electrónico</v>
      </c>
      <c r="M321" t="str">
        <f t="shared" si="4"/>
        <v>Venta promedio</v>
      </c>
      <c r="N321" s="22"/>
      <c r="O321" s="22"/>
      <c r="P321" s="22"/>
    </row>
    <row r="322" spans="1:16" x14ac:dyDescent="0.35">
      <c r="A322">
        <v>5186</v>
      </c>
      <c r="B322" t="s">
        <v>138</v>
      </c>
      <c r="C322" s="1">
        <v>45509</v>
      </c>
      <c r="D322" t="s">
        <v>26</v>
      </c>
      <c r="E322" t="s">
        <v>25</v>
      </c>
      <c r="F322" s="6">
        <v>1844533</v>
      </c>
      <c r="G322">
        <v>2</v>
      </c>
      <c r="H322" s="6">
        <v>3689066</v>
      </c>
      <c r="I322" t="s">
        <v>866</v>
      </c>
      <c r="J322" t="s">
        <v>4</v>
      </c>
      <c r="K322" t="s">
        <v>571</v>
      </c>
      <c r="L322" t="str">
        <f>IF(Base_ventas[[#This Row],[Método_pago]]="Efectivo","Efectivo","Electrónico")</f>
        <v>Electrónico</v>
      </c>
      <c r="M322" t="str">
        <f t="shared" si="4"/>
        <v>Venta promedio</v>
      </c>
      <c r="N322" s="22"/>
      <c r="O322" s="22"/>
      <c r="P322" s="22"/>
    </row>
    <row r="323" spans="1:16" x14ac:dyDescent="0.35">
      <c r="A323">
        <v>6737</v>
      </c>
      <c r="B323" t="s">
        <v>438</v>
      </c>
      <c r="C323" s="1">
        <v>45510</v>
      </c>
      <c r="D323" t="s">
        <v>28</v>
      </c>
      <c r="E323" t="s">
        <v>1</v>
      </c>
      <c r="F323" s="6">
        <v>177881</v>
      </c>
      <c r="G323">
        <v>3</v>
      </c>
      <c r="H323" s="6">
        <v>533643</v>
      </c>
      <c r="I323" t="s">
        <v>867</v>
      </c>
      <c r="J323" t="s">
        <v>1608</v>
      </c>
      <c r="K323" t="s">
        <v>537</v>
      </c>
      <c r="L323" t="str">
        <f>IF(Base_ventas[[#This Row],[Método_pago]]="Efectivo","Efectivo","Electrónico")</f>
        <v>Electrónico</v>
      </c>
      <c r="M323" t="str">
        <f t="shared" si="4"/>
        <v>Venta promedio</v>
      </c>
      <c r="N323" s="22"/>
      <c r="O323" s="22"/>
      <c r="P323" s="22"/>
    </row>
    <row r="324" spans="1:16" x14ac:dyDescent="0.35">
      <c r="A324">
        <v>8308</v>
      </c>
      <c r="B324" t="s">
        <v>43</v>
      </c>
      <c r="C324" s="1">
        <v>45510</v>
      </c>
      <c r="D324" t="s">
        <v>22</v>
      </c>
      <c r="E324" t="s">
        <v>23</v>
      </c>
      <c r="F324" s="6">
        <v>741722</v>
      </c>
      <c r="G324">
        <v>3</v>
      </c>
      <c r="H324" s="6">
        <v>2225166</v>
      </c>
      <c r="I324" t="s">
        <v>868</v>
      </c>
      <c r="J324" t="s">
        <v>3</v>
      </c>
      <c r="K324" t="s">
        <v>602</v>
      </c>
      <c r="L324" t="str">
        <f>IF(Base_ventas[[#This Row],[Método_pago]]="Efectivo","Efectivo","Electrónico")</f>
        <v>Electrónico</v>
      </c>
      <c r="M324" t="str">
        <f t="shared" ref="M324:M387" si="5">IF(AND(G324&gt;2,H324&gt;=1000000),"Best seller","Venta promedio")</f>
        <v>Best seller</v>
      </c>
      <c r="N324" s="22"/>
      <c r="O324" s="22"/>
      <c r="P324" s="22"/>
    </row>
    <row r="325" spans="1:16" x14ac:dyDescent="0.35">
      <c r="A325">
        <v>3313</v>
      </c>
      <c r="B325" t="s">
        <v>439</v>
      </c>
      <c r="C325" s="1">
        <v>45510</v>
      </c>
      <c r="D325" t="s">
        <v>30</v>
      </c>
      <c r="E325" t="s">
        <v>1</v>
      </c>
      <c r="F325" s="6">
        <v>114971</v>
      </c>
      <c r="G325">
        <v>2</v>
      </c>
      <c r="H325" s="6">
        <v>229942</v>
      </c>
      <c r="I325" t="s">
        <v>869</v>
      </c>
      <c r="J325" t="s">
        <v>1608</v>
      </c>
      <c r="K325" t="s">
        <v>533</v>
      </c>
      <c r="L325" t="str">
        <f>IF(Base_ventas[[#This Row],[Método_pago]]="Efectivo","Efectivo","Electrónico")</f>
        <v>Electrónico</v>
      </c>
      <c r="M325" t="str">
        <f t="shared" si="5"/>
        <v>Venta promedio</v>
      </c>
      <c r="N325" s="22"/>
      <c r="O325" s="22"/>
      <c r="P325" s="22"/>
    </row>
    <row r="326" spans="1:16" x14ac:dyDescent="0.35">
      <c r="A326">
        <v>6012</v>
      </c>
      <c r="B326" t="s">
        <v>54</v>
      </c>
      <c r="C326" s="1">
        <v>45510</v>
      </c>
      <c r="D326" t="s">
        <v>22</v>
      </c>
      <c r="E326" t="s">
        <v>23</v>
      </c>
      <c r="F326" s="6">
        <v>741722</v>
      </c>
      <c r="G326">
        <v>3</v>
      </c>
      <c r="H326" s="6">
        <v>2225166</v>
      </c>
      <c r="I326" t="s">
        <v>870</v>
      </c>
      <c r="J326" t="s">
        <v>3</v>
      </c>
      <c r="K326" t="s">
        <v>545</v>
      </c>
      <c r="L326" t="str">
        <f>IF(Base_ventas[[#This Row],[Método_pago]]="Efectivo","Efectivo","Electrónico")</f>
        <v>Electrónico</v>
      </c>
      <c r="M326" t="str">
        <f t="shared" si="5"/>
        <v>Best seller</v>
      </c>
      <c r="N326" s="22"/>
      <c r="O326" s="22"/>
      <c r="P326" s="22"/>
    </row>
    <row r="327" spans="1:16" x14ac:dyDescent="0.35">
      <c r="A327">
        <v>7512</v>
      </c>
      <c r="B327" t="s">
        <v>440</v>
      </c>
      <c r="C327" s="1">
        <v>45511</v>
      </c>
      <c r="D327" t="s">
        <v>28</v>
      </c>
      <c r="E327" t="s">
        <v>1</v>
      </c>
      <c r="F327" s="6">
        <v>177881</v>
      </c>
      <c r="G327">
        <v>3</v>
      </c>
      <c r="H327" s="6">
        <v>533643</v>
      </c>
      <c r="I327" t="s">
        <v>871</v>
      </c>
      <c r="J327" t="s">
        <v>1608</v>
      </c>
      <c r="K327" t="s">
        <v>541</v>
      </c>
      <c r="L327" t="str">
        <f>IF(Base_ventas[[#This Row],[Método_pago]]="Efectivo","Efectivo","Electrónico")</f>
        <v>Electrónico</v>
      </c>
      <c r="M327" t="str">
        <f t="shared" si="5"/>
        <v>Venta promedio</v>
      </c>
      <c r="N327" s="22"/>
      <c r="O327" s="22"/>
      <c r="P327" s="22"/>
    </row>
    <row r="328" spans="1:16" x14ac:dyDescent="0.35">
      <c r="A328">
        <v>8198</v>
      </c>
      <c r="B328" t="s">
        <v>233</v>
      </c>
      <c r="C328" s="1">
        <v>45513</v>
      </c>
      <c r="D328" t="s">
        <v>26</v>
      </c>
      <c r="E328" t="s">
        <v>25</v>
      </c>
      <c r="F328" s="6">
        <v>1844533</v>
      </c>
      <c r="G328">
        <v>3</v>
      </c>
      <c r="H328" s="6">
        <v>5533599</v>
      </c>
      <c r="I328" t="s">
        <v>872</v>
      </c>
      <c r="J328" t="s">
        <v>4</v>
      </c>
      <c r="K328" t="s">
        <v>577</v>
      </c>
      <c r="L328" t="str">
        <f>IF(Base_ventas[[#This Row],[Método_pago]]="Efectivo","Efectivo","Electrónico")</f>
        <v>Electrónico</v>
      </c>
      <c r="M328" t="str">
        <f t="shared" si="5"/>
        <v>Best seller</v>
      </c>
      <c r="N328" s="22"/>
      <c r="O328" s="22"/>
      <c r="P328" s="22"/>
    </row>
    <row r="329" spans="1:16" x14ac:dyDescent="0.35">
      <c r="A329">
        <v>4936</v>
      </c>
      <c r="B329" t="s">
        <v>164</v>
      </c>
      <c r="C329" s="1">
        <v>45514</v>
      </c>
      <c r="D329" t="s">
        <v>30</v>
      </c>
      <c r="E329" t="s">
        <v>1</v>
      </c>
      <c r="F329" s="6">
        <v>114971</v>
      </c>
      <c r="G329">
        <v>2</v>
      </c>
      <c r="H329" s="6">
        <v>229942</v>
      </c>
      <c r="I329" t="s">
        <v>873</v>
      </c>
      <c r="J329" t="s">
        <v>2</v>
      </c>
      <c r="K329" t="s">
        <v>561</v>
      </c>
      <c r="L329" t="str">
        <f>IF(Base_ventas[[#This Row],[Método_pago]]="Efectivo","Efectivo","Electrónico")</f>
        <v>Efectivo</v>
      </c>
      <c r="M329" t="str">
        <f t="shared" si="5"/>
        <v>Venta promedio</v>
      </c>
      <c r="N329" s="22"/>
      <c r="O329" s="22"/>
      <c r="P329" s="22"/>
    </row>
    <row r="330" spans="1:16" x14ac:dyDescent="0.35">
      <c r="A330">
        <v>1511</v>
      </c>
      <c r="B330" t="s">
        <v>109</v>
      </c>
      <c r="C330" s="1">
        <v>45514</v>
      </c>
      <c r="D330" t="s">
        <v>28</v>
      </c>
      <c r="E330" t="s">
        <v>1</v>
      </c>
      <c r="F330" s="6">
        <v>177881</v>
      </c>
      <c r="G330">
        <v>3</v>
      </c>
      <c r="H330" s="6">
        <v>533643</v>
      </c>
      <c r="I330" t="s">
        <v>874</v>
      </c>
      <c r="J330" t="s">
        <v>4</v>
      </c>
      <c r="K330" t="s">
        <v>539</v>
      </c>
      <c r="L330" t="str">
        <f>IF(Base_ventas[[#This Row],[Método_pago]]="Efectivo","Efectivo","Electrónico")</f>
        <v>Electrónico</v>
      </c>
      <c r="M330" t="str">
        <f t="shared" si="5"/>
        <v>Venta promedio</v>
      </c>
      <c r="N330" s="22"/>
      <c r="O330" s="22"/>
      <c r="P330" s="22"/>
    </row>
    <row r="331" spans="1:16" x14ac:dyDescent="0.35">
      <c r="A331">
        <v>8054</v>
      </c>
      <c r="B331" t="s">
        <v>441</v>
      </c>
      <c r="C331" s="1">
        <v>45514</v>
      </c>
      <c r="D331" t="s">
        <v>30</v>
      </c>
      <c r="E331" t="s">
        <v>1</v>
      </c>
      <c r="F331" s="6">
        <v>114971</v>
      </c>
      <c r="G331">
        <v>1</v>
      </c>
      <c r="H331" s="6">
        <v>114971</v>
      </c>
      <c r="I331" t="s">
        <v>875</v>
      </c>
      <c r="J331" t="s">
        <v>1608</v>
      </c>
      <c r="K331" t="s">
        <v>547</v>
      </c>
      <c r="L331" t="str">
        <f>IF(Base_ventas[[#This Row],[Método_pago]]="Efectivo","Efectivo","Electrónico")</f>
        <v>Electrónico</v>
      </c>
      <c r="M331" t="str">
        <f t="shared" si="5"/>
        <v>Venta promedio</v>
      </c>
      <c r="N331" s="22"/>
      <c r="O331" s="22"/>
      <c r="P331" s="22"/>
    </row>
    <row r="332" spans="1:16" x14ac:dyDescent="0.35">
      <c r="A332">
        <v>9879</v>
      </c>
      <c r="B332" t="s">
        <v>102</v>
      </c>
      <c r="C332" s="1">
        <v>45515</v>
      </c>
      <c r="D332" t="s">
        <v>30</v>
      </c>
      <c r="E332" t="s">
        <v>1</v>
      </c>
      <c r="F332" s="6">
        <v>114971</v>
      </c>
      <c r="G332">
        <v>1</v>
      </c>
      <c r="H332" s="6">
        <v>114971</v>
      </c>
      <c r="I332" t="s">
        <v>876</v>
      </c>
      <c r="J332" t="s">
        <v>4</v>
      </c>
      <c r="K332" t="s">
        <v>577</v>
      </c>
      <c r="L332" t="str">
        <f>IF(Base_ventas[[#This Row],[Método_pago]]="Efectivo","Efectivo","Electrónico")</f>
        <v>Electrónico</v>
      </c>
      <c r="M332" t="str">
        <f t="shared" si="5"/>
        <v>Venta promedio</v>
      </c>
      <c r="N332" s="22"/>
      <c r="O332" s="22"/>
      <c r="P332" s="22"/>
    </row>
    <row r="333" spans="1:16" x14ac:dyDescent="0.35">
      <c r="A333">
        <v>8649</v>
      </c>
      <c r="B333" t="s">
        <v>202</v>
      </c>
      <c r="C333" s="1">
        <v>45515</v>
      </c>
      <c r="D333" t="s">
        <v>22</v>
      </c>
      <c r="E333" t="s">
        <v>23</v>
      </c>
      <c r="F333" s="6">
        <v>741722</v>
      </c>
      <c r="G333">
        <v>1</v>
      </c>
      <c r="H333" s="6">
        <v>741722</v>
      </c>
      <c r="I333" t="s">
        <v>877</v>
      </c>
      <c r="J333" t="s">
        <v>2</v>
      </c>
      <c r="K333" t="s">
        <v>539</v>
      </c>
      <c r="L333" t="str">
        <f>IF(Base_ventas[[#This Row],[Método_pago]]="Efectivo","Efectivo","Electrónico")</f>
        <v>Efectivo</v>
      </c>
      <c r="M333" t="str">
        <f t="shared" si="5"/>
        <v>Venta promedio</v>
      </c>
      <c r="N333" s="22"/>
      <c r="O333" s="22"/>
      <c r="P333" s="22"/>
    </row>
    <row r="334" spans="1:16" x14ac:dyDescent="0.35">
      <c r="A334">
        <v>7415</v>
      </c>
      <c r="B334" t="s">
        <v>442</v>
      </c>
      <c r="C334" s="1">
        <v>45515</v>
      </c>
      <c r="D334" t="s">
        <v>28</v>
      </c>
      <c r="E334" t="s">
        <v>1</v>
      </c>
      <c r="F334" s="6">
        <v>177881</v>
      </c>
      <c r="G334">
        <v>1</v>
      </c>
      <c r="H334" s="6">
        <v>177881</v>
      </c>
      <c r="I334" t="s">
        <v>878</v>
      </c>
      <c r="J334" t="s">
        <v>4</v>
      </c>
      <c r="K334" t="s">
        <v>581</v>
      </c>
      <c r="L334" t="str">
        <f>IF(Base_ventas[[#This Row],[Método_pago]]="Efectivo","Efectivo","Electrónico")</f>
        <v>Electrónico</v>
      </c>
      <c r="M334" t="str">
        <f t="shared" si="5"/>
        <v>Venta promedio</v>
      </c>
      <c r="N334" s="22"/>
      <c r="O334" s="22"/>
      <c r="P334" s="22"/>
    </row>
    <row r="335" spans="1:16" x14ac:dyDescent="0.35">
      <c r="A335">
        <v>4557</v>
      </c>
      <c r="B335" t="s">
        <v>443</v>
      </c>
      <c r="C335" s="1">
        <v>45518</v>
      </c>
      <c r="D335" t="s">
        <v>26</v>
      </c>
      <c r="E335" t="s">
        <v>25</v>
      </c>
      <c r="F335" s="6">
        <v>1844533</v>
      </c>
      <c r="G335">
        <v>2</v>
      </c>
      <c r="H335" s="6">
        <v>3689066</v>
      </c>
      <c r="I335" t="s">
        <v>879</v>
      </c>
      <c r="J335" t="s">
        <v>3</v>
      </c>
      <c r="K335" t="s">
        <v>547</v>
      </c>
      <c r="L335" t="str">
        <f>IF(Base_ventas[[#This Row],[Método_pago]]="Efectivo","Efectivo","Electrónico")</f>
        <v>Electrónico</v>
      </c>
      <c r="M335" t="str">
        <f t="shared" si="5"/>
        <v>Venta promedio</v>
      </c>
      <c r="N335" s="22"/>
      <c r="O335" s="22"/>
      <c r="P335" s="22"/>
    </row>
    <row r="336" spans="1:16" x14ac:dyDescent="0.35">
      <c r="A336">
        <v>6467</v>
      </c>
      <c r="B336" t="s">
        <v>444</v>
      </c>
      <c r="C336" s="1">
        <v>45518</v>
      </c>
      <c r="D336" t="s">
        <v>24</v>
      </c>
      <c r="E336" t="s">
        <v>25</v>
      </c>
      <c r="F336" s="6">
        <v>707995</v>
      </c>
      <c r="G336">
        <v>3</v>
      </c>
      <c r="H336" s="6">
        <v>2123985</v>
      </c>
      <c r="I336" t="s">
        <v>880</v>
      </c>
      <c r="J336" t="s">
        <v>1608</v>
      </c>
      <c r="K336" t="s">
        <v>533</v>
      </c>
      <c r="L336" t="str">
        <f>IF(Base_ventas[[#This Row],[Método_pago]]="Efectivo","Efectivo","Electrónico")</f>
        <v>Electrónico</v>
      </c>
      <c r="M336" t="str">
        <f t="shared" si="5"/>
        <v>Best seller</v>
      </c>
      <c r="N336" s="22"/>
      <c r="O336" s="22"/>
      <c r="P336" s="22"/>
    </row>
    <row r="337" spans="1:16" x14ac:dyDescent="0.35">
      <c r="A337">
        <v>7882</v>
      </c>
      <c r="B337" t="s">
        <v>445</v>
      </c>
      <c r="C337" s="1">
        <v>45518</v>
      </c>
      <c r="D337" t="s">
        <v>24</v>
      </c>
      <c r="E337" t="s">
        <v>25</v>
      </c>
      <c r="F337" s="6">
        <v>707995</v>
      </c>
      <c r="G337">
        <v>1</v>
      </c>
      <c r="H337" s="6">
        <v>707995</v>
      </c>
      <c r="I337" t="s">
        <v>881</v>
      </c>
      <c r="J337" t="s">
        <v>2</v>
      </c>
      <c r="K337" t="s">
        <v>602</v>
      </c>
      <c r="L337" t="str">
        <f>IF(Base_ventas[[#This Row],[Método_pago]]="Efectivo","Efectivo","Electrónico")</f>
        <v>Efectivo</v>
      </c>
      <c r="M337" t="str">
        <f t="shared" si="5"/>
        <v>Venta promedio</v>
      </c>
      <c r="N337" s="22"/>
      <c r="O337" s="22"/>
      <c r="P337" s="22"/>
    </row>
    <row r="338" spans="1:16" x14ac:dyDescent="0.35">
      <c r="A338">
        <v>2762</v>
      </c>
      <c r="B338" t="s">
        <v>446</v>
      </c>
      <c r="C338" s="1">
        <v>45519</v>
      </c>
      <c r="D338" t="s">
        <v>30</v>
      </c>
      <c r="E338" t="s">
        <v>1</v>
      </c>
      <c r="F338" s="6">
        <v>114971</v>
      </c>
      <c r="G338">
        <v>3</v>
      </c>
      <c r="H338" s="6">
        <v>344913</v>
      </c>
      <c r="I338" t="s">
        <v>882</v>
      </c>
      <c r="J338" t="s">
        <v>3</v>
      </c>
      <c r="K338" t="s">
        <v>543</v>
      </c>
      <c r="L338" t="str">
        <f>IF(Base_ventas[[#This Row],[Método_pago]]="Efectivo","Efectivo","Electrónico")</f>
        <v>Electrónico</v>
      </c>
      <c r="M338" t="str">
        <f t="shared" si="5"/>
        <v>Venta promedio</v>
      </c>
      <c r="N338" s="22"/>
      <c r="O338" s="22"/>
      <c r="P338" s="22"/>
    </row>
    <row r="339" spans="1:16" x14ac:dyDescent="0.35">
      <c r="A339">
        <v>7943</v>
      </c>
      <c r="B339" t="s">
        <v>86</v>
      </c>
      <c r="C339" s="1">
        <v>45520</v>
      </c>
      <c r="D339" t="s">
        <v>30</v>
      </c>
      <c r="E339" t="s">
        <v>1</v>
      </c>
      <c r="F339" s="6">
        <v>114971</v>
      </c>
      <c r="G339">
        <v>2</v>
      </c>
      <c r="H339" s="6">
        <v>229942</v>
      </c>
      <c r="I339" t="s">
        <v>883</v>
      </c>
      <c r="J339" t="s">
        <v>4</v>
      </c>
      <c r="K339" t="s">
        <v>579</v>
      </c>
      <c r="L339" t="str">
        <f>IF(Base_ventas[[#This Row],[Método_pago]]="Efectivo","Efectivo","Electrónico")</f>
        <v>Electrónico</v>
      </c>
      <c r="M339" t="str">
        <f t="shared" si="5"/>
        <v>Venta promedio</v>
      </c>
      <c r="N339" s="22"/>
      <c r="O339" s="22"/>
      <c r="P339" s="22"/>
    </row>
    <row r="340" spans="1:16" x14ac:dyDescent="0.35">
      <c r="A340">
        <v>7945</v>
      </c>
      <c r="B340" t="s">
        <v>447</v>
      </c>
      <c r="C340" s="1">
        <v>45521</v>
      </c>
      <c r="D340" t="s">
        <v>30</v>
      </c>
      <c r="E340" t="s">
        <v>1</v>
      </c>
      <c r="F340" s="6">
        <v>114971</v>
      </c>
      <c r="G340">
        <v>3</v>
      </c>
      <c r="H340" s="6">
        <v>344913</v>
      </c>
      <c r="I340" t="s">
        <v>884</v>
      </c>
      <c r="J340" t="s">
        <v>3</v>
      </c>
      <c r="K340" t="s">
        <v>579</v>
      </c>
      <c r="L340" t="str">
        <f>IF(Base_ventas[[#This Row],[Método_pago]]="Efectivo","Efectivo","Electrónico")</f>
        <v>Electrónico</v>
      </c>
      <c r="M340" t="str">
        <f t="shared" si="5"/>
        <v>Venta promedio</v>
      </c>
      <c r="N340" s="22"/>
      <c r="O340" s="22"/>
      <c r="P340" s="22"/>
    </row>
    <row r="341" spans="1:16" x14ac:dyDescent="0.35">
      <c r="A341">
        <v>5224</v>
      </c>
      <c r="B341" t="s">
        <v>448</v>
      </c>
      <c r="C341" s="1">
        <v>45521</v>
      </c>
      <c r="D341" t="s">
        <v>26</v>
      </c>
      <c r="E341" t="s">
        <v>25</v>
      </c>
      <c r="F341" s="6">
        <v>1844533</v>
      </c>
      <c r="G341">
        <v>3</v>
      </c>
      <c r="H341" s="6">
        <v>5533599</v>
      </c>
      <c r="I341" t="s">
        <v>885</v>
      </c>
      <c r="J341" t="s">
        <v>2</v>
      </c>
      <c r="K341" t="s">
        <v>545</v>
      </c>
      <c r="L341" t="str">
        <f>IF(Base_ventas[[#This Row],[Método_pago]]="Efectivo","Efectivo","Electrónico")</f>
        <v>Efectivo</v>
      </c>
      <c r="M341" t="str">
        <f t="shared" si="5"/>
        <v>Best seller</v>
      </c>
      <c r="N341" s="22"/>
      <c r="O341" s="22"/>
      <c r="P341" s="22"/>
    </row>
    <row r="342" spans="1:16" x14ac:dyDescent="0.35">
      <c r="A342">
        <v>2915</v>
      </c>
      <c r="B342" t="s">
        <v>449</v>
      </c>
      <c r="C342" s="1">
        <v>45521</v>
      </c>
      <c r="D342" t="s">
        <v>26</v>
      </c>
      <c r="E342" t="s">
        <v>25</v>
      </c>
      <c r="F342" s="6">
        <v>1844533</v>
      </c>
      <c r="G342">
        <v>1</v>
      </c>
      <c r="H342" s="6">
        <v>1844533</v>
      </c>
      <c r="I342" t="s">
        <v>886</v>
      </c>
      <c r="J342" t="s">
        <v>1608</v>
      </c>
      <c r="K342" t="s">
        <v>543</v>
      </c>
      <c r="L342" t="str">
        <f>IF(Base_ventas[[#This Row],[Método_pago]]="Efectivo","Efectivo","Electrónico")</f>
        <v>Electrónico</v>
      </c>
      <c r="M342" t="str">
        <f t="shared" si="5"/>
        <v>Venta promedio</v>
      </c>
      <c r="N342" s="22"/>
      <c r="O342" s="22"/>
      <c r="P342" s="22"/>
    </row>
    <row r="343" spans="1:16" x14ac:dyDescent="0.35">
      <c r="A343">
        <v>6984</v>
      </c>
      <c r="B343" t="s">
        <v>243</v>
      </c>
      <c r="C343" s="1">
        <v>45521</v>
      </c>
      <c r="D343" t="s">
        <v>22</v>
      </c>
      <c r="E343" t="s">
        <v>23</v>
      </c>
      <c r="F343" s="6">
        <v>741722</v>
      </c>
      <c r="G343">
        <v>3</v>
      </c>
      <c r="H343" s="6">
        <v>2225166</v>
      </c>
      <c r="I343" t="s">
        <v>887</v>
      </c>
      <c r="J343" t="s">
        <v>3</v>
      </c>
      <c r="K343" t="s">
        <v>579</v>
      </c>
      <c r="L343" t="str">
        <f>IF(Base_ventas[[#This Row],[Método_pago]]="Efectivo","Efectivo","Electrónico")</f>
        <v>Electrónico</v>
      </c>
      <c r="M343" t="str">
        <f t="shared" si="5"/>
        <v>Best seller</v>
      </c>
      <c r="N343" s="22"/>
      <c r="O343" s="22"/>
      <c r="P343" s="22"/>
    </row>
    <row r="344" spans="1:16" x14ac:dyDescent="0.35">
      <c r="A344">
        <v>6612</v>
      </c>
      <c r="B344" t="s">
        <v>85</v>
      </c>
      <c r="C344" s="1">
        <v>45523</v>
      </c>
      <c r="D344" t="s">
        <v>22</v>
      </c>
      <c r="E344" t="s">
        <v>23</v>
      </c>
      <c r="F344" s="6">
        <v>741722</v>
      </c>
      <c r="G344">
        <v>1</v>
      </c>
      <c r="H344" s="6">
        <v>741722</v>
      </c>
      <c r="I344" t="s">
        <v>888</v>
      </c>
      <c r="J344" t="s">
        <v>3</v>
      </c>
      <c r="K344" t="s">
        <v>561</v>
      </c>
      <c r="L344" t="str">
        <f>IF(Base_ventas[[#This Row],[Método_pago]]="Efectivo","Efectivo","Electrónico")</f>
        <v>Electrónico</v>
      </c>
      <c r="M344" t="str">
        <f t="shared" si="5"/>
        <v>Venta promedio</v>
      </c>
      <c r="N344" s="22"/>
      <c r="O344" s="22"/>
      <c r="P344" s="22"/>
    </row>
    <row r="345" spans="1:16" x14ac:dyDescent="0.35">
      <c r="A345">
        <v>9125</v>
      </c>
      <c r="B345" t="s">
        <v>166</v>
      </c>
      <c r="C345" s="1">
        <v>45524</v>
      </c>
      <c r="D345" t="s">
        <v>26</v>
      </c>
      <c r="E345" t="s">
        <v>25</v>
      </c>
      <c r="F345" s="6">
        <v>1844533</v>
      </c>
      <c r="G345">
        <v>2</v>
      </c>
      <c r="H345" s="6">
        <v>3689066</v>
      </c>
      <c r="I345" t="s">
        <v>889</v>
      </c>
      <c r="J345" t="s">
        <v>2</v>
      </c>
      <c r="K345" t="s">
        <v>543</v>
      </c>
      <c r="L345" t="str">
        <f>IF(Base_ventas[[#This Row],[Método_pago]]="Efectivo","Efectivo","Electrónico")</f>
        <v>Efectivo</v>
      </c>
      <c r="M345" t="str">
        <f t="shared" si="5"/>
        <v>Venta promedio</v>
      </c>
      <c r="N345" s="22"/>
      <c r="O345" s="22"/>
      <c r="P345" s="22"/>
    </row>
    <row r="346" spans="1:16" x14ac:dyDescent="0.35">
      <c r="A346">
        <v>7080</v>
      </c>
      <c r="B346" t="s">
        <v>450</v>
      </c>
      <c r="C346" s="1">
        <v>45525</v>
      </c>
      <c r="D346" t="s">
        <v>26</v>
      </c>
      <c r="E346" t="s">
        <v>25</v>
      </c>
      <c r="F346" s="6">
        <v>1844533</v>
      </c>
      <c r="G346">
        <v>2</v>
      </c>
      <c r="H346" s="6">
        <v>3689066</v>
      </c>
      <c r="I346" t="s">
        <v>890</v>
      </c>
      <c r="J346" t="s">
        <v>3</v>
      </c>
      <c r="K346" t="s">
        <v>602</v>
      </c>
      <c r="L346" t="str">
        <f>IF(Base_ventas[[#This Row],[Método_pago]]="Efectivo","Efectivo","Electrónico")</f>
        <v>Electrónico</v>
      </c>
      <c r="M346" t="str">
        <f t="shared" si="5"/>
        <v>Venta promedio</v>
      </c>
      <c r="N346" s="22"/>
      <c r="O346" s="22"/>
      <c r="P346" s="22"/>
    </row>
    <row r="347" spans="1:16" x14ac:dyDescent="0.35">
      <c r="A347">
        <v>4897</v>
      </c>
      <c r="B347" t="s">
        <v>451</v>
      </c>
      <c r="C347" s="1">
        <v>45525</v>
      </c>
      <c r="D347" t="s">
        <v>22</v>
      </c>
      <c r="E347" t="s">
        <v>23</v>
      </c>
      <c r="F347" s="6">
        <v>741722</v>
      </c>
      <c r="G347">
        <v>3</v>
      </c>
      <c r="H347" s="6">
        <v>2225166</v>
      </c>
      <c r="I347" t="s">
        <v>891</v>
      </c>
      <c r="J347" t="s">
        <v>4</v>
      </c>
      <c r="K347" t="s">
        <v>579</v>
      </c>
      <c r="L347" t="str">
        <f>IF(Base_ventas[[#This Row],[Método_pago]]="Efectivo","Efectivo","Electrónico")</f>
        <v>Electrónico</v>
      </c>
      <c r="M347" t="str">
        <f t="shared" si="5"/>
        <v>Best seller</v>
      </c>
      <c r="N347" s="22"/>
      <c r="O347" s="22"/>
      <c r="P347" s="22"/>
    </row>
    <row r="348" spans="1:16" x14ac:dyDescent="0.35">
      <c r="A348">
        <v>1835</v>
      </c>
      <c r="B348" t="s">
        <v>452</v>
      </c>
      <c r="C348" s="1">
        <v>45526</v>
      </c>
      <c r="D348" t="s">
        <v>28</v>
      </c>
      <c r="E348" t="s">
        <v>1</v>
      </c>
      <c r="F348" s="6">
        <v>177881</v>
      </c>
      <c r="G348">
        <v>1</v>
      </c>
      <c r="H348" s="6">
        <v>177881</v>
      </c>
      <c r="I348" t="s">
        <v>892</v>
      </c>
      <c r="J348" t="s">
        <v>4</v>
      </c>
      <c r="K348" t="s">
        <v>535</v>
      </c>
      <c r="L348" t="str">
        <f>IF(Base_ventas[[#This Row],[Método_pago]]="Efectivo","Efectivo","Electrónico")</f>
        <v>Electrónico</v>
      </c>
      <c r="M348" t="str">
        <f t="shared" si="5"/>
        <v>Venta promedio</v>
      </c>
      <c r="N348" s="22"/>
      <c r="O348" s="22"/>
      <c r="P348" s="22"/>
    </row>
    <row r="349" spans="1:16" x14ac:dyDescent="0.35">
      <c r="A349">
        <v>5191</v>
      </c>
      <c r="B349" t="s">
        <v>211</v>
      </c>
      <c r="C349" s="1">
        <v>45526</v>
      </c>
      <c r="D349" t="s">
        <v>26</v>
      </c>
      <c r="E349" t="s">
        <v>25</v>
      </c>
      <c r="F349" s="6">
        <v>1844533</v>
      </c>
      <c r="G349">
        <v>3</v>
      </c>
      <c r="H349" s="6">
        <v>5533599</v>
      </c>
      <c r="I349" t="s">
        <v>893</v>
      </c>
      <c r="J349" t="s">
        <v>2</v>
      </c>
      <c r="K349" t="s">
        <v>545</v>
      </c>
      <c r="L349" t="str">
        <f>IF(Base_ventas[[#This Row],[Método_pago]]="Efectivo","Efectivo","Electrónico")</f>
        <v>Efectivo</v>
      </c>
      <c r="M349" t="str">
        <f t="shared" si="5"/>
        <v>Best seller</v>
      </c>
      <c r="N349" s="22"/>
      <c r="O349" s="22"/>
      <c r="P349" s="22"/>
    </row>
    <row r="350" spans="1:16" x14ac:dyDescent="0.35">
      <c r="A350">
        <v>6614</v>
      </c>
      <c r="B350" t="s">
        <v>260</v>
      </c>
      <c r="C350" s="1">
        <v>45529</v>
      </c>
      <c r="D350" t="s">
        <v>26</v>
      </c>
      <c r="E350" t="s">
        <v>25</v>
      </c>
      <c r="F350" s="6">
        <v>1844533</v>
      </c>
      <c r="G350">
        <v>1</v>
      </c>
      <c r="H350" s="6">
        <v>1844533</v>
      </c>
      <c r="I350" t="s">
        <v>894</v>
      </c>
      <c r="J350" t="s">
        <v>3</v>
      </c>
      <c r="K350" t="s">
        <v>543</v>
      </c>
      <c r="L350" t="str">
        <f>IF(Base_ventas[[#This Row],[Método_pago]]="Efectivo","Efectivo","Electrónico")</f>
        <v>Electrónico</v>
      </c>
      <c r="M350" t="str">
        <f t="shared" si="5"/>
        <v>Venta promedio</v>
      </c>
      <c r="N350" s="22"/>
      <c r="O350" s="22"/>
      <c r="P350" s="22"/>
    </row>
    <row r="351" spans="1:16" x14ac:dyDescent="0.35">
      <c r="A351">
        <v>8137</v>
      </c>
      <c r="B351" t="s">
        <v>453</v>
      </c>
      <c r="C351" s="1">
        <v>45529</v>
      </c>
      <c r="D351" t="s">
        <v>24</v>
      </c>
      <c r="E351" t="s">
        <v>25</v>
      </c>
      <c r="F351" s="6">
        <v>707995</v>
      </c>
      <c r="G351">
        <v>2</v>
      </c>
      <c r="H351" s="6">
        <v>1415990</v>
      </c>
      <c r="I351" t="s">
        <v>895</v>
      </c>
      <c r="J351" t="s">
        <v>3</v>
      </c>
      <c r="K351" t="s">
        <v>541</v>
      </c>
      <c r="L351" t="str">
        <f>IF(Base_ventas[[#This Row],[Método_pago]]="Efectivo","Efectivo","Electrónico")</f>
        <v>Electrónico</v>
      </c>
      <c r="M351" t="str">
        <f t="shared" si="5"/>
        <v>Venta promedio</v>
      </c>
      <c r="N351" s="22"/>
      <c r="O351" s="22"/>
      <c r="P351" s="22"/>
    </row>
    <row r="352" spans="1:16" x14ac:dyDescent="0.35">
      <c r="A352">
        <v>2356</v>
      </c>
      <c r="B352" t="s">
        <v>64</v>
      </c>
      <c r="C352" s="1">
        <v>45530</v>
      </c>
      <c r="D352" t="s">
        <v>28</v>
      </c>
      <c r="E352" t="s">
        <v>1</v>
      </c>
      <c r="F352" s="6">
        <v>177881</v>
      </c>
      <c r="G352">
        <v>3</v>
      </c>
      <c r="H352" s="6">
        <v>533643</v>
      </c>
      <c r="I352" t="s">
        <v>896</v>
      </c>
      <c r="J352" t="s">
        <v>2</v>
      </c>
      <c r="K352" t="s">
        <v>579</v>
      </c>
      <c r="L352" t="str">
        <f>IF(Base_ventas[[#This Row],[Método_pago]]="Efectivo","Efectivo","Electrónico")</f>
        <v>Efectivo</v>
      </c>
      <c r="M352" t="str">
        <f t="shared" si="5"/>
        <v>Venta promedio</v>
      </c>
      <c r="N352" s="22"/>
      <c r="O352" s="22"/>
      <c r="P352" s="22"/>
    </row>
    <row r="353" spans="1:16" x14ac:dyDescent="0.35">
      <c r="A353">
        <v>7910</v>
      </c>
      <c r="B353" t="s">
        <v>454</v>
      </c>
      <c r="C353" s="1">
        <v>45531</v>
      </c>
      <c r="D353" t="s">
        <v>30</v>
      </c>
      <c r="E353" t="s">
        <v>1</v>
      </c>
      <c r="F353" s="6">
        <v>114971</v>
      </c>
      <c r="G353">
        <v>1</v>
      </c>
      <c r="H353" s="6">
        <v>114971</v>
      </c>
      <c r="I353" t="s">
        <v>897</v>
      </c>
      <c r="J353" t="s">
        <v>2</v>
      </c>
      <c r="K353" t="s">
        <v>579</v>
      </c>
      <c r="L353" t="str">
        <f>IF(Base_ventas[[#This Row],[Método_pago]]="Efectivo","Efectivo","Electrónico")</f>
        <v>Efectivo</v>
      </c>
      <c r="M353" t="str">
        <f t="shared" si="5"/>
        <v>Venta promedio</v>
      </c>
      <c r="N353" s="22"/>
      <c r="O353" s="22"/>
      <c r="P353" s="22"/>
    </row>
    <row r="354" spans="1:16" x14ac:dyDescent="0.35">
      <c r="A354">
        <v>1262</v>
      </c>
      <c r="B354" t="s">
        <v>455</v>
      </c>
      <c r="C354" s="1">
        <v>45533</v>
      </c>
      <c r="D354" t="s">
        <v>22</v>
      </c>
      <c r="E354" t="s">
        <v>23</v>
      </c>
      <c r="F354" s="6">
        <v>741722</v>
      </c>
      <c r="G354">
        <v>2</v>
      </c>
      <c r="H354" s="6">
        <v>1483444</v>
      </c>
      <c r="I354" t="s">
        <v>898</v>
      </c>
      <c r="J354" t="s">
        <v>4</v>
      </c>
      <c r="K354" t="s">
        <v>539</v>
      </c>
      <c r="L354" t="str">
        <f>IF(Base_ventas[[#This Row],[Método_pago]]="Efectivo","Efectivo","Electrónico")</f>
        <v>Electrónico</v>
      </c>
      <c r="M354" t="str">
        <f t="shared" si="5"/>
        <v>Venta promedio</v>
      </c>
      <c r="N354" s="22"/>
      <c r="O354" s="22"/>
      <c r="P354" s="22"/>
    </row>
    <row r="355" spans="1:16" x14ac:dyDescent="0.35">
      <c r="A355">
        <v>8290</v>
      </c>
      <c r="B355" t="s">
        <v>456</v>
      </c>
      <c r="C355" s="1">
        <v>45534</v>
      </c>
      <c r="D355" t="s">
        <v>28</v>
      </c>
      <c r="E355" t="s">
        <v>1</v>
      </c>
      <c r="F355" s="6">
        <v>177881</v>
      </c>
      <c r="G355">
        <v>3</v>
      </c>
      <c r="H355" s="6">
        <v>533643</v>
      </c>
      <c r="I355" t="s">
        <v>899</v>
      </c>
      <c r="J355" t="s">
        <v>2</v>
      </c>
      <c r="K355" t="s">
        <v>561</v>
      </c>
      <c r="L355" t="str">
        <f>IF(Base_ventas[[#This Row],[Método_pago]]="Efectivo","Efectivo","Electrónico")</f>
        <v>Efectivo</v>
      </c>
      <c r="M355" t="str">
        <f t="shared" si="5"/>
        <v>Venta promedio</v>
      </c>
      <c r="N355" s="22"/>
      <c r="O355" s="22"/>
      <c r="P355" s="22"/>
    </row>
    <row r="356" spans="1:16" x14ac:dyDescent="0.35">
      <c r="A356">
        <v>5522</v>
      </c>
      <c r="B356" t="s">
        <v>104</v>
      </c>
      <c r="C356" s="1">
        <v>45535</v>
      </c>
      <c r="D356" t="s">
        <v>28</v>
      </c>
      <c r="E356" t="s">
        <v>1</v>
      </c>
      <c r="F356" s="6">
        <v>177881</v>
      </c>
      <c r="G356">
        <v>1</v>
      </c>
      <c r="H356" s="6">
        <v>177881</v>
      </c>
      <c r="I356" t="s">
        <v>900</v>
      </c>
      <c r="J356" t="s">
        <v>1608</v>
      </c>
      <c r="K356" t="s">
        <v>543</v>
      </c>
      <c r="L356" t="str">
        <f>IF(Base_ventas[[#This Row],[Método_pago]]="Efectivo","Efectivo","Electrónico")</f>
        <v>Electrónico</v>
      </c>
      <c r="M356" t="str">
        <f t="shared" si="5"/>
        <v>Venta promedio</v>
      </c>
      <c r="N356" s="22"/>
      <c r="O356" s="22"/>
      <c r="P356" s="22"/>
    </row>
    <row r="357" spans="1:16" x14ac:dyDescent="0.35">
      <c r="A357">
        <v>6207</v>
      </c>
      <c r="B357" t="s">
        <v>457</v>
      </c>
      <c r="C357" s="1">
        <v>45536</v>
      </c>
      <c r="D357" t="s">
        <v>22</v>
      </c>
      <c r="E357" t="s">
        <v>23</v>
      </c>
      <c r="F357" s="6">
        <v>741722</v>
      </c>
      <c r="G357">
        <v>2</v>
      </c>
      <c r="H357" s="6">
        <v>1483444</v>
      </c>
      <c r="I357" t="s">
        <v>901</v>
      </c>
      <c r="J357" t="s">
        <v>4</v>
      </c>
      <c r="K357" t="s">
        <v>622</v>
      </c>
      <c r="L357" t="str">
        <f>IF(Base_ventas[[#This Row],[Método_pago]]="Efectivo","Efectivo","Electrónico")</f>
        <v>Electrónico</v>
      </c>
      <c r="M357" t="str">
        <f t="shared" si="5"/>
        <v>Venta promedio</v>
      </c>
      <c r="N357" s="22"/>
      <c r="O357" s="22"/>
      <c r="P357" s="22"/>
    </row>
    <row r="358" spans="1:16" x14ac:dyDescent="0.35">
      <c r="A358">
        <v>5325</v>
      </c>
      <c r="B358" t="s">
        <v>458</v>
      </c>
      <c r="C358" s="1">
        <v>45536</v>
      </c>
      <c r="D358" t="s">
        <v>26</v>
      </c>
      <c r="E358" t="s">
        <v>25</v>
      </c>
      <c r="F358" s="6">
        <v>1844533</v>
      </c>
      <c r="G358">
        <v>1</v>
      </c>
      <c r="H358" s="6">
        <v>1844533</v>
      </c>
      <c r="I358" t="s">
        <v>902</v>
      </c>
      <c r="J358" t="s">
        <v>4</v>
      </c>
      <c r="K358" t="s">
        <v>541</v>
      </c>
      <c r="L358" t="str">
        <f>IF(Base_ventas[[#This Row],[Método_pago]]="Efectivo","Efectivo","Electrónico")</f>
        <v>Electrónico</v>
      </c>
      <c r="M358" t="str">
        <f t="shared" si="5"/>
        <v>Venta promedio</v>
      </c>
      <c r="N358" s="22"/>
      <c r="O358" s="22"/>
      <c r="P358" s="22"/>
    </row>
    <row r="359" spans="1:16" x14ac:dyDescent="0.35">
      <c r="A359">
        <v>5056</v>
      </c>
      <c r="B359" t="s">
        <v>459</v>
      </c>
      <c r="C359" s="1">
        <v>45537</v>
      </c>
      <c r="D359" t="s">
        <v>22</v>
      </c>
      <c r="E359" t="s">
        <v>23</v>
      </c>
      <c r="F359" s="6">
        <v>741722</v>
      </c>
      <c r="G359">
        <v>3</v>
      </c>
      <c r="H359" s="6">
        <v>2225166</v>
      </c>
      <c r="I359" t="s">
        <v>903</v>
      </c>
      <c r="J359" t="s">
        <v>4</v>
      </c>
      <c r="K359" t="s">
        <v>561</v>
      </c>
      <c r="L359" t="str">
        <f>IF(Base_ventas[[#This Row],[Método_pago]]="Efectivo","Efectivo","Electrónico")</f>
        <v>Electrónico</v>
      </c>
      <c r="M359" t="str">
        <f t="shared" si="5"/>
        <v>Best seller</v>
      </c>
      <c r="N359" s="22"/>
      <c r="O359" s="22"/>
      <c r="P359" s="22"/>
    </row>
    <row r="360" spans="1:16" x14ac:dyDescent="0.35">
      <c r="A360">
        <v>9972</v>
      </c>
      <c r="B360" t="s">
        <v>117</v>
      </c>
      <c r="C360" s="1">
        <v>45539</v>
      </c>
      <c r="D360" t="s">
        <v>24</v>
      </c>
      <c r="E360" t="s">
        <v>25</v>
      </c>
      <c r="F360" s="6">
        <v>707995</v>
      </c>
      <c r="G360">
        <v>2</v>
      </c>
      <c r="H360" s="6">
        <v>1415990</v>
      </c>
      <c r="I360" t="s">
        <v>904</v>
      </c>
      <c r="J360" t="s">
        <v>2</v>
      </c>
      <c r="K360" t="s">
        <v>602</v>
      </c>
      <c r="L360" t="str">
        <f>IF(Base_ventas[[#This Row],[Método_pago]]="Efectivo","Efectivo","Electrónico")</f>
        <v>Efectivo</v>
      </c>
      <c r="M360" t="str">
        <f t="shared" si="5"/>
        <v>Venta promedio</v>
      </c>
      <c r="N360" s="22"/>
      <c r="O360" s="22"/>
      <c r="P360" s="22"/>
    </row>
    <row r="361" spans="1:16" x14ac:dyDescent="0.35">
      <c r="A361">
        <v>5296</v>
      </c>
      <c r="B361" t="s">
        <v>460</v>
      </c>
      <c r="C361" s="1">
        <v>45540</v>
      </c>
      <c r="D361" t="s">
        <v>22</v>
      </c>
      <c r="E361" t="s">
        <v>23</v>
      </c>
      <c r="F361" s="6">
        <v>741722</v>
      </c>
      <c r="G361">
        <v>1</v>
      </c>
      <c r="H361" s="6">
        <v>741722</v>
      </c>
      <c r="I361" t="s">
        <v>905</v>
      </c>
      <c r="J361" t="s">
        <v>4</v>
      </c>
      <c r="K361" t="s">
        <v>543</v>
      </c>
      <c r="L361" t="str">
        <f>IF(Base_ventas[[#This Row],[Método_pago]]="Efectivo","Efectivo","Electrónico")</f>
        <v>Electrónico</v>
      </c>
      <c r="M361" t="str">
        <f t="shared" si="5"/>
        <v>Venta promedio</v>
      </c>
      <c r="N361" s="22"/>
      <c r="O361" s="22"/>
      <c r="P361" s="22"/>
    </row>
    <row r="362" spans="1:16" x14ac:dyDescent="0.35">
      <c r="A362">
        <v>7973</v>
      </c>
      <c r="B362" t="s">
        <v>461</v>
      </c>
      <c r="C362" s="1">
        <v>45541</v>
      </c>
      <c r="D362" t="s">
        <v>26</v>
      </c>
      <c r="E362" t="s">
        <v>25</v>
      </c>
      <c r="F362" s="6">
        <v>1844533</v>
      </c>
      <c r="G362">
        <v>3</v>
      </c>
      <c r="H362" s="6">
        <v>5533599</v>
      </c>
      <c r="I362" t="s">
        <v>906</v>
      </c>
      <c r="J362" t="s">
        <v>2</v>
      </c>
      <c r="K362" t="s">
        <v>622</v>
      </c>
      <c r="L362" t="str">
        <f>IF(Base_ventas[[#This Row],[Método_pago]]="Efectivo","Efectivo","Electrónico")</f>
        <v>Efectivo</v>
      </c>
      <c r="M362" t="str">
        <f t="shared" si="5"/>
        <v>Best seller</v>
      </c>
      <c r="N362" s="22"/>
      <c r="O362" s="22"/>
      <c r="P362" s="22"/>
    </row>
    <row r="363" spans="1:16" x14ac:dyDescent="0.35">
      <c r="A363">
        <v>7288</v>
      </c>
      <c r="B363" t="s">
        <v>462</v>
      </c>
      <c r="C363" s="1">
        <v>45545</v>
      </c>
      <c r="D363" t="s">
        <v>28</v>
      </c>
      <c r="E363" t="s">
        <v>1</v>
      </c>
      <c r="F363" s="6">
        <v>177881</v>
      </c>
      <c r="G363">
        <v>2</v>
      </c>
      <c r="H363" s="6">
        <v>355762</v>
      </c>
      <c r="I363" t="s">
        <v>907</v>
      </c>
      <c r="J363" t="s">
        <v>1608</v>
      </c>
      <c r="K363" t="s">
        <v>535</v>
      </c>
      <c r="L363" t="str">
        <f>IF(Base_ventas[[#This Row],[Método_pago]]="Efectivo","Efectivo","Electrónico")</f>
        <v>Electrónico</v>
      </c>
      <c r="M363" t="str">
        <f t="shared" si="5"/>
        <v>Venta promedio</v>
      </c>
      <c r="N363" s="22"/>
      <c r="O363" s="22"/>
      <c r="P363" s="22"/>
    </row>
    <row r="364" spans="1:16" x14ac:dyDescent="0.35">
      <c r="A364">
        <v>9911</v>
      </c>
      <c r="B364" t="s">
        <v>118</v>
      </c>
      <c r="C364" s="1">
        <v>45548</v>
      </c>
      <c r="D364" t="s">
        <v>24</v>
      </c>
      <c r="E364" t="s">
        <v>25</v>
      </c>
      <c r="F364" s="6">
        <v>707995</v>
      </c>
      <c r="G364">
        <v>3</v>
      </c>
      <c r="H364" s="6">
        <v>2123985</v>
      </c>
      <c r="I364" t="s">
        <v>908</v>
      </c>
      <c r="J364" t="s">
        <v>2</v>
      </c>
      <c r="K364" t="s">
        <v>537</v>
      </c>
      <c r="L364" t="str">
        <f>IF(Base_ventas[[#This Row],[Método_pago]]="Efectivo","Efectivo","Electrónico")</f>
        <v>Efectivo</v>
      </c>
      <c r="M364" t="str">
        <f t="shared" si="5"/>
        <v>Best seller</v>
      </c>
      <c r="N364" s="22"/>
      <c r="O364" s="22"/>
      <c r="P364" s="22"/>
    </row>
    <row r="365" spans="1:16" x14ac:dyDescent="0.35">
      <c r="A365">
        <v>7372</v>
      </c>
      <c r="B365" t="s">
        <v>194</v>
      </c>
      <c r="C365" s="1">
        <v>45548</v>
      </c>
      <c r="D365" t="s">
        <v>26</v>
      </c>
      <c r="E365" t="s">
        <v>25</v>
      </c>
      <c r="F365" s="6">
        <v>1844533</v>
      </c>
      <c r="G365">
        <v>1</v>
      </c>
      <c r="H365" s="6">
        <v>1844533</v>
      </c>
      <c r="I365" t="s">
        <v>909</v>
      </c>
      <c r="J365" t="s">
        <v>1608</v>
      </c>
      <c r="K365" t="s">
        <v>622</v>
      </c>
      <c r="L365" t="str">
        <f>IF(Base_ventas[[#This Row],[Método_pago]]="Efectivo","Efectivo","Electrónico")</f>
        <v>Electrónico</v>
      </c>
      <c r="M365" t="str">
        <f t="shared" si="5"/>
        <v>Venta promedio</v>
      </c>
      <c r="N365" s="22"/>
      <c r="O365" s="22"/>
      <c r="P365" s="22"/>
    </row>
    <row r="366" spans="1:16" x14ac:dyDescent="0.35">
      <c r="A366">
        <v>4116</v>
      </c>
      <c r="B366" t="s">
        <v>463</v>
      </c>
      <c r="C366" s="1">
        <v>45549</v>
      </c>
      <c r="D366" t="s">
        <v>24</v>
      </c>
      <c r="E366" t="s">
        <v>25</v>
      </c>
      <c r="F366" s="6">
        <v>707995</v>
      </c>
      <c r="G366">
        <v>3</v>
      </c>
      <c r="H366" s="6">
        <v>2123985</v>
      </c>
      <c r="I366" t="s">
        <v>910</v>
      </c>
      <c r="J366" t="s">
        <v>4</v>
      </c>
      <c r="K366" t="s">
        <v>602</v>
      </c>
      <c r="L366" t="str">
        <f>IF(Base_ventas[[#This Row],[Método_pago]]="Efectivo","Efectivo","Electrónico")</f>
        <v>Electrónico</v>
      </c>
      <c r="M366" t="str">
        <f t="shared" si="5"/>
        <v>Best seller</v>
      </c>
      <c r="N366" s="22"/>
      <c r="O366" s="22"/>
      <c r="P366" s="22"/>
    </row>
    <row r="367" spans="1:16" x14ac:dyDescent="0.35">
      <c r="A367">
        <v>4952</v>
      </c>
      <c r="B367" t="s">
        <v>103</v>
      </c>
      <c r="C367" s="1">
        <v>45550</v>
      </c>
      <c r="D367" t="s">
        <v>26</v>
      </c>
      <c r="E367" t="s">
        <v>25</v>
      </c>
      <c r="F367" s="6">
        <v>1844533</v>
      </c>
      <c r="G367">
        <v>2</v>
      </c>
      <c r="H367" s="6">
        <v>3689066</v>
      </c>
      <c r="I367" t="s">
        <v>911</v>
      </c>
      <c r="J367" t="s">
        <v>4</v>
      </c>
      <c r="K367" t="s">
        <v>602</v>
      </c>
      <c r="L367" t="str">
        <f>IF(Base_ventas[[#This Row],[Método_pago]]="Efectivo","Efectivo","Electrónico")</f>
        <v>Electrónico</v>
      </c>
      <c r="M367" t="str">
        <f t="shared" si="5"/>
        <v>Venta promedio</v>
      </c>
      <c r="N367" s="22"/>
      <c r="O367" s="22"/>
      <c r="P367" s="22"/>
    </row>
    <row r="368" spans="1:16" x14ac:dyDescent="0.35">
      <c r="A368">
        <v>5948</v>
      </c>
      <c r="B368" t="s">
        <v>140</v>
      </c>
      <c r="C368" s="1">
        <v>45550</v>
      </c>
      <c r="D368" t="s">
        <v>30</v>
      </c>
      <c r="E368" t="s">
        <v>1</v>
      </c>
      <c r="F368" s="6">
        <v>114971</v>
      </c>
      <c r="G368">
        <v>2</v>
      </c>
      <c r="H368" s="6">
        <v>229942</v>
      </c>
      <c r="I368" t="s">
        <v>912</v>
      </c>
      <c r="J368" t="s">
        <v>1608</v>
      </c>
      <c r="K368" t="s">
        <v>579</v>
      </c>
      <c r="L368" t="str">
        <f>IF(Base_ventas[[#This Row],[Método_pago]]="Efectivo","Efectivo","Electrónico")</f>
        <v>Electrónico</v>
      </c>
      <c r="M368" t="str">
        <f t="shared" si="5"/>
        <v>Venta promedio</v>
      </c>
      <c r="N368" s="22"/>
      <c r="O368" s="22"/>
      <c r="P368" s="22"/>
    </row>
    <row r="369" spans="1:16" x14ac:dyDescent="0.35">
      <c r="A369">
        <v>1766</v>
      </c>
      <c r="B369" t="s">
        <v>116</v>
      </c>
      <c r="C369" s="1">
        <v>45550</v>
      </c>
      <c r="D369" t="s">
        <v>26</v>
      </c>
      <c r="E369" t="s">
        <v>25</v>
      </c>
      <c r="F369" s="6">
        <v>1844533</v>
      </c>
      <c r="G369">
        <v>1</v>
      </c>
      <c r="H369" s="6">
        <v>1844533</v>
      </c>
      <c r="I369" t="s">
        <v>913</v>
      </c>
      <c r="J369" t="s">
        <v>2</v>
      </c>
      <c r="K369" t="s">
        <v>561</v>
      </c>
      <c r="L369" t="str">
        <f>IF(Base_ventas[[#This Row],[Método_pago]]="Efectivo","Efectivo","Electrónico")</f>
        <v>Efectivo</v>
      </c>
      <c r="M369" t="str">
        <f t="shared" si="5"/>
        <v>Venta promedio</v>
      </c>
      <c r="N369" s="22"/>
      <c r="O369" s="22"/>
      <c r="P369" s="22"/>
    </row>
    <row r="370" spans="1:16" x14ac:dyDescent="0.35">
      <c r="A370">
        <v>1623</v>
      </c>
      <c r="B370" t="s">
        <v>27</v>
      </c>
      <c r="C370" s="1">
        <v>45551</v>
      </c>
      <c r="D370" t="s">
        <v>24</v>
      </c>
      <c r="E370" t="s">
        <v>25</v>
      </c>
      <c r="F370" s="6">
        <v>707995</v>
      </c>
      <c r="G370">
        <v>1</v>
      </c>
      <c r="H370" s="6">
        <v>707995</v>
      </c>
      <c r="I370" t="s">
        <v>914</v>
      </c>
      <c r="J370" t="s">
        <v>2</v>
      </c>
      <c r="K370" t="s">
        <v>579</v>
      </c>
      <c r="L370" t="str">
        <f>IF(Base_ventas[[#This Row],[Método_pago]]="Efectivo","Efectivo","Electrónico")</f>
        <v>Efectivo</v>
      </c>
      <c r="M370" t="str">
        <f t="shared" si="5"/>
        <v>Venta promedio</v>
      </c>
      <c r="N370" s="22"/>
      <c r="O370" s="22"/>
      <c r="P370" s="22"/>
    </row>
    <row r="371" spans="1:16" x14ac:dyDescent="0.35">
      <c r="A371">
        <v>4235</v>
      </c>
      <c r="B371" t="s">
        <v>464</v>
      </c>
      <c r="C371" s="1">
        <v>45552</v>
      </c>
      <c r="D371" t="s">
        <v>30</v>
      </c>
      <c r="E371" t="s">
        <v>1</v>
      </c>
      <c r="F371" s="6">
        <v>114971</v>
      </c>
      <c r="G371">
        <v>2</v>
      </c>
      <c r="H371" s="6">
        <v>229942</v>
      </c>
      <c r="I371" t="s">
        <v>915</v>
      </c>
      <c r="J371" t="s">
        <v>2</v>
      </c>
      <c r="K371" t="s">
        <v>545</v>
      </c>
      <c r="L371" t="str">
        <f>IF(Base_ventas[[#This Row],[Método_pago]]="Efectivo","Efectivo","Electrónico")</f>
        <v>Efectivo</v>
      </c>
      <c r="M371" t="str">
        <f t="shared" si="5"/>
        <v>Venta promedio</v>
      </c>
      <c r="N371" s="22"/>
      <c r="O371" s="22"/>
      <c r="P371" s="22"/>
    </row>
    <row r="372" spans="1:16" x14ac:dyDescent="0.35">
      <c r="A372">
        <v>3693</v>
      </c>
      <c r="B372" t="s">
        <v>142</v>
      </c>
      <c r="C372" s="1">
        <v>45553</v>
      </c>
      <c r="D372" t="s">
        <v>30</v>
      </c>
      <c r="E372" t="s">
        <v>1</v>
      </c>
      <c r="F372" s="6">
        <v>114971</v>
      </c>
      <c r="G372">
        <v>2</v>
      </c>
      <c r="H372" s="6">
        <v>229942</v>
      </c>
      <c r="I372" t="s">
        <v>916</v>
      </c>
      <c r="J372" t="s">
        <v>1608</v>
      </c>
      <c r="K372" t="s">
        <v>561</v>
      </c>
      <c r="L372" t="str">
        <f>IF(Base_ventas[[#This Row],[Método_pago]]="Efectivo","Efectivo","Electrónico")</f>
        <v>Electrónico</v>
      </c>
      <c r="M372" t="str">
        <f t="shared" si="5"/>
        <v>Venta promedio</v>
      </c>
      <c r="N372" s="22"/>
      <c r="O372" s="22"/>
      <c r="P372" s="22"/>
    </row>
    <row r="373" spans="1:16" x14ac:dyDescent="0.35">
      <c r="A373">
        <v>9104</v>
      </c>
      <c r="B373" t="s">
        <v>155</v>
      </c>
      <c r="C373" s="1">
        <v>45553</v>
      </c>
      <c r="D373" t="s">
        <v>30</v>
      </c>
      <c r="E373" t="s">
        <v>1</v>
      </c>
      <c r="F373" s="6">
        <v>114971</v>
      </c>
      <c r="G373">
        <v>3</v>
      </c>
      <c r="H373" s="6">
        <v>344913</v>
      </c>
      <c r="I373" t="s">
        <v>917</v>
      </c>
      <c r="J373" t="s">
        <v>4</v>
      </c>
      <c r="K373" t="s">
        <v>539</v>
      </c>
      <c r="L373" t="str">
        <f>IF(Base_ventas[[#This Row],[Método_pago]]="Efectivo","Efectivo","Electrónico")</f>
        <v>Electrónico</v>
      </c>
      <c r="M373" t="str">
        <f t="shared" si="5"/>
        <v>Venta promedio</v>
      </c>
      <c r="N373" s="22"/>
      <c r="O373" s="22"/>
      <c r="P373" s="22"/>
    </row>
    <row r="374" spans="1:16" x14ac:dyDescent="0.35">
      <c r="A374">
        <v>7473</v>
      </c>
      <c r="B374" t="s">
        <v>465</v>
      </c>
      <c r="C374" s="1">
        <v>45554</v>
      </c>
      <c r="D374" t="s">
        <v>24</v>
      </c>
      <c r="E374" t="s">
        <v>25</v>
      </c>
      <c r="F374" s="6">
        <v>707995</v>
      </c>
      <c r="G374">
        <v>3</v>
      </c>
      <c r="H374" s="6">
        <v>2123985</v>
      </c>
      <c r="I374" t="s">
        <v>918</v>
      </c>
      <c r="J374" t="s">
        <v>1608</v>
      </c>
      <c r="K374" t="s">
        <v>535</v>
      </c>
      <c r="L374" t="str">
        <f>IF(Base_ventas[[#This Row],[Método_pago]]="Efectivo","Efectivo","Electrónico")</f>
        <v>Electrónico</v>
      </c>
      <c r="M374" t="str">
        <f t="shared" si="5"/>
        <v>Best seller</v>
      </c>
      <c r="N374" s="22"/>
      <c r="O374" s="22"/>
      <c r="P374" s="22"/>
    </row>
    <row r="375" spans="1:16" x14ac:dyDescent="0.35">
      <c r="A375">
        <v>9917</v>
      </c>
      <c r="B375" t="s">
        <v>88</v>
      </c>
      <c r="C375" s="1">
        <v>45555</v>
      </c>
      <c r="D375" t="s">
        <v>24</v>
      </c>
      <c r="E375" t="s">
        <v>25</v>
      </c>
      <c r="F375" s="6">
        <v>707995</v>
      </c>
      <c r="G375">
        <v>1</v>
      </c>
      <c r="H375" s="6">
        <v>707995</v>
      </c>
      <c r="I375" t="s">
        <v>919</v>
      </c>
      <c r="J375" t="s">
        <v>2</v>
      </c>
      <c r="K375" t="s">
        <v>535</v>
      </c>
      <c r="L375" t="str">
        <f>IF(Base_ventas[[#This Row],[Método_pago]]="Efectivo","Efectivo","Electrónico")</f>
        <v>Efectivo</v>
      </c>
      <c r="M375" t="str">
        <f t="shared" si="5"/>
        <v>Venta promedio</v>
      </c>
      <c r="N375" s="22"/>
      <c r="O375" s="22"/>
      <c r="P375" s="22"/>
    </row>
    <row r="376" spans="1:16" x14ac:dyDescent="0.35">
      <c r="A376">
        <v>3514</v>
      </c>
      <c r="B376" t="s">
        <v>270</v>
      </c>
      <c r="C376" s="1">
        <v>45555</v>
      </c>
      <c r="D376" t="s">
        <v>22</v>
      </c>
      <c r="E376" t="s">
        <v>23</v>
      </c>
      <c r="F376" s="6">
        <v>741722</v>
      </c>
      <c r="G376">
        <v>3</v>
      </c>
      <c r="H376" s="6">
        <v>2225166</v>
      </c>
      <c r="I376" t="s">
        <v>920</v>
      </c>
      <c r="J376" t="s">
        <v>4</v>
      </c>
      <c r="K376" t="s">
        <v>571</v>
      </c>
      <c r="L376" t="str">
        <f>IF(Base_ventas[[#This Row],[Método_pago]]="Efectivo","Efectivo","Electrónico")</f>
        <v>Electrónico</v>
      </c>
      <c r="M376" t="str">
        <f t="shared" si="5"/>
        <v>Best seller</v>
      </c>
      <c r="N376" s="22"/>
      <c r="O376" s="22"/>
      <c r="P376" s="22"/>
    </row>
    <row r="377" spans="1:16" x14ac:dyDescent="0.35">
      <c r="A377">
        <v>5954</v>
      </c>
      <c r="B377" t="s">
        <v>223</v>
      </c>
      <c r="C377" s="1">
        <v>45555</v>
      </c>
      <c r="D377" t="s">
        <v>24</v>
      </c>
      <c r="E377" t="s">
        <v>25</v>
      </c>
      <c r="F377" s="6">
        <v>707995</v>
      </c>
      <c r="G377">
        <v>2</v>
      </c>
      <c r="H377" s="6">
        <v>1415990</v>
      </c>
      <c r="I377" t="s">
        <v>921</v>
      </c>
      <c r="J377" t="s">
        <v>1608</v>
      </c>
      <c r="K377" t="s">
        <v>539</v>
      </c>
      <c r="L377" t="str">
        <f>IF(Base_ventas[[#This Row],[Método_pago]]="Efectivo","Efectivo","Electrónico")</f>
        <v>Electrónico</v>
      </c>
      <c r="M377" t="str">
        <f t="shared" si="5"/>
        <v>Venta promedio</v>
      </c>
      <c r="N377" s="22"/>
      <c r="O377" s="22"/>
      <c r="P377" s="22"/>
    </row>
    <row r="378" spans="1:16" x14ac:dyDescent="0.35">
      <c r="A378">
        <v>7931</v>
      </c>
      <c r="B378" t="s">
        <v>466</v>
      </c>
      <c r="C378" s="1">
        <v>45556</v>
      </c>
      <c r="D378" t="s">
        <v>26</v>
      </c>
      <c r="E378" t="s">
        <v>25</v>
      </c>
      <c r="F378" s="6">
        <v>1844533</v>
      </c>
      <c r="G378">
        <v>2</v>
      </c>
      <c r="H378" s="6">
        <v>3689066</v>
      </c>
      <c r="I378" t="s">
        <v>922</v>
      </c>
      <c r="J378" t="s">
        <v>3</v>
      </c>
      <c r="K378" t="s">
        <v>537</v>
      </c>
      <c r="L378" t="str">
        <f>IF(Base_ventas[[#This Row],[Método_pago]]="Efectivo","Efectivo","Electrónico")</f>
        <v>Electrónico</v>
      </c>
      <c r="M378" t="str">
        <f t="shared" si="5"/>
        <v>Venta promedio</v>
      </c>
      <c r="N378" s="22"/>
      <c r="O378" s="22"/>
      <c r="P378" s="22"/>
    </row>
    <row r="379" spans="1:16" x14ac:dyDescent="0.35">
      <c r="A379">
        <v>9936</v>
      </c>
      <c r="B379" t="s">
        <v>163</v>
      </c>
      <c r="C379" s="1">
        <v>45557</v>
      </c>
      <c r="D379" t="s">
        <v>22</v>
      </c>
      <c r="E379" t="s">
        <v>23</v>
      </c>
      <c r="F379" s="6">
        <v>741722</v>
      </c>
      <c r="G379">
        <v>2</v>
      </c>
      <c r="H379" s="6">
        <v>1483444</v>
      </c>
      <c r="I379" t="s">
        <v>923</v>
      </c>
      <c r="J379" t="s">
        <v>3</v>
      </c>
      <c r="K379" t="s">
        <v>543</v>
      </c>
      <c r="L379" t="str">
        <f>IF(Base_ventas[[#This Row],[Método_pago]]="Efectivo","Efectivo","Electrónico")</f>
        <v>Electrónico</v>
      </c>
      <c r="M379" t="str">
        <f t="shared" si="5"/>
        <v>Venta promedio</v>
      </c>
      <c r="N379" s="22"/>
      <c r="O379" s="22"/>
      <c r="P379" s="22"/>
    </row>
    <row r="380" spans="1:16" x14ac:dyDescent="0.35">
      <c r="A380">
        <v>7514</v>
      </c>
      <c r="B380" t="s">
        <v>467</v>
      </c>
      <c r="C380" s="1">
        <v>45557</v>
      </c>
      <c r="D380" t="s">
        <v>26</v>
      </c>
      <c r="E380" t="s">
        <v>25</v>
      </c>
      <c r="F380" s="6">
        <v>1844533</v>
      </c>
      <c r="G380">
        <v>3</v>
      </c>
      <c r="H380" s="6">
        <v>5533599</v>
      </c>
      <c r="I380" t="s">
        <v>924</v>
      </c>
      <c r="J380" t="s">
        <v>2</v>
      </c>
      <c r="K380" t="s">
        <v>539</v>
      </c>
      <c r="L380" t="str">
        <f>IF(Base_ventas[[#This Row],[Método_pago]]="Efectivo","Efectivo","Electrónico")</f>
        <v>Efectivo</v>
      </c>
      <c r="M380" t="str">
        <f t="shared" si="5"/>
        <v>Best seller</v>
      </c>
      <c r="N380" s="22"/>
      <c r="O380" s="22"/>
      <c r="P380" s="22"/>
    </row>
    <row r="381" spans="1:16" x14ac:dyDescent="0.35">
      <c r="A381">
        <v>9377</v>
      </c>
      <c r="B381" t="s">
        <v>468</v>
      </c>
      <c r="C381" s="1">
        <v>45557</v>
      </c>
      <c r="D381" t="s">
        <v>28</v>
      </c>
      <c r="E381" t="s">
        <v>1</v>
      </c>
      <c r="F381" s="6">
        <v>177881</v>
      </c>
      <c r="G381">
        <v>1</v>
      </c>
      <c r="H381" s="6">
        <v>177881</v>
      </c>
      <c r="I381" t="s">
        <v>925</v>
      </c>
      <c r="J381" t="s">
        <v>1608</v>
      </c>
      <c r="K381" t="s">
        <v>543</v>
      </c>
      <c r="L381" t="str">
        <f>IF(Base_ventas[[#This Row],[Método_pago]]="Efectivo","Efectivo","Electrónico")</f>
        <v>Electrónico</v>
      </c>
      <c r="M381" t="str">
        <f t="shared" si="5"/>
        <v>Venta promedio</v>
      </c>
      <c r="N381" s="22"/>
      <c r="O381" s="22"/>
      <c r="P381" s="22"/>
    </row>
    <row r="382" spans="1:16" x14ac:dyDescent="0.35">
      <c r="A382">
        <v>5761</v>
      </c>
      <c r="B382" t="s">
        <v>469</v>
      </c>
      <c r="C382" s="1">
        <v>45557</v>
      </c>
      <c r="D382" t="s">
        <v>22</v>
      </c>
      <c r="E382" t="s">
        <v>23</v>
      </c>
      <c r="F382" s="6">
        <v>741722</v>
      </c>
      <c r="G382">
        <v>1</v>
      </c>
      <c r="H382" s="6">
        <v>741722</v>
      </c>
      <c r="I382" t="s">
        <v>926</v>
      </c>
      <c r="J382" t="s">
        <v>4</v>
      </c>
      <c r="K382" t="s">
        <v>535</v>
      </c>
      <c r="L382" t="str">
        <f>IF(Base_ventas[[#This Row],[Método_pago]]="Efectivo","Efectivo","Electrónico")</f>
        <v>Electrónico</v>
      </c>
      <c r="M382" t="str">
        <f t="shared" si="5"/>
        <v>Venta promedio</v>
      </c>
      <c r="N382" s="22"/>
      <c r="O382" s="22"/>
      <c r="P382" s="22"/>
    </row>
    <row r="383" spans="1:16" x14ac:dyDescent="0.35">
      <c r="A383">
        <v>5426</v>
      </c>
      <c r="B383" t="s">
        <v>210</v>
      </c>
      <c r="C383" s="1">
        <v>45557</v>
      </c>
      <c r="D383" t="s">
        <v>22</v>
      </c>
      <c r="E383" t="s">
        <v>23</v>
      </c>
      <c r="F383" s="6">
        <v>741722</v>
      </c>
      <c r="G383">
        <v>2</v>
      </c>
      <c r="H383" s="6">
        <v>1483444</v>
      </c>
      <c r="I383" t="s">
        <v>927</v>
      </c>
      <c r="J383" t="s">
        <v>3</v>
      </c>
      <c r="K383" t="s">
        <v>577</v>
      </c>
      <c r="L383" t="str">
        <f>IF(Base_ventas[[#This Row],[Método_pago]]="Efectivo","Efectivo","Electrónico")</f>
        <v>Electrónico</v>
      </c>
      <c r="M383" t="str">
        <f t="shared" si="5"/>
        <v>Venta promedio</v>
      </c>
      <c r="N383" s="22"/>
      <c r="O383" s="22"/>
      <c r="P383" s="22"/>
    </row>
    <row r="384" spans="1:16" x14ac:dyDescent="0.35">
      <c r="A384">
        <v>5693</v>
      </c>
      <c r="B384" t="s">
        <v>470</v>
      </c>
      <c r="C384" s="1">
        <v>45559</v>
      </c>
      <c r="D384" t="s">
        <v>30</v>
      </c>
      <c r="E384" t="s">
        <v>1</v>
      </c>
      <c r="F384" s="6">
        <v>114971</v>
      </c>
      <c r="G384">
        <v>1</v>
      </c>
      <c r="H384" s="6">
        <v>114971</v>
      </c>
      <c r="I384" t="s">
        <v>928</v>
      </c>
      <c r="J384" t="s">
        <v>4</v>
      </c>
      <c r="K384" t="s">
        <v>539</v>
      </c>
      <c r="L384" t="str">
        <f>IF(Base_ventas[[#This Row],[Método_pago]]="Efectivo","Efectivo","Electrónico")</f>
        <v>Electrónico</v>
      </c>
      <c r="M384" t="str">
        <f t="shared" si="5"/>
        <v>Venta promedio</v>
      </c>
      <c r="N384" s="22"/>
      <c r="O384" s="22"/>
      <c r="P384" s="22"/>
    </row>
    <row r="385" spans="1:16" x14ac:dyDescent="0.35">
      <c r="A385">
        <v>4660</v>
      </c>
      <c r="B385" t="s">
        <v>120</v>
      </c>
      <c r="C385" s="1">
        <v>45559</v>
      </c>
      <c r="D385" t="s">
        <v>30</v>
      </c>
      <c r="E385" t="s">
        <v>1</v>
      </c>
      <c r="F385" s="6">
        <v>114971</v>
      </c>
      <c r="G385">
        <v>2</v>
      </c>
      <c r="H385" s="6">
        <v>229942</v>
      </c>
      <c r="I385" t="s">
        <v>929</v>
      </c>
      <c r="J385" t="s">
        <v>2</v>
      </c>
      <c r="K385" t="s">
        <v>577</v>
      </c>
      <c r="L385" t="str">
        <f>IF(Base_ventas[[#This Row],[Método_pago]]="Efectivo","Efectivo","Electrónico")</f>
        <v>Efectivo</v>
      </c>
      <c r="M385" t="str">
        <f t="shared" si="5"/>
        <v>Venta promedio</v>
      </c>
      <c r="N385" s="22"/>
      <c r="O385" s="22"/>
      <c r="P385" s="22"/>
    </row>
    <row r="386" spans="1:16" x14ac:dyDescent="0.35">
      <c r="A386">
        <v>2285</v>
      </c>
      <c r="B386" t="s">
        <v>471</v>
      </c>
      <c r="C386" s="1">
        <v>45561</v>
      </c>
      <c r="D386" t="s">
        <v>28</v>
      </c>
      <c r="E386" t="s">
        <v>1</v>
      </c>
      <c r="F386" s="6">
        <v>177881</v>
      </c>
      <c r="G386">
        <v>3</v>
      </c>
      <c r="H386" s="6">
        <v>533643</v>
      </c>
      <c r="I386" t="s">
        <v>930</v>
      </c>
      <c r="J386" t="s">
        <v>3</v>
      </c>
      <c r="K386" t="s">
        <v>537</v>
      </c>
      <c r="L386" t="str">
        <f>IF(Base_ventas[[#This Row],[Método_pago]]="Efectivo","Efectivo","Electrónico")</f>
        <v>Electrónico</v>
      </c>
      <c r="M386" t="str">
        <f t="shared" si="5"/>
        <v>Venta promedio</v>
      </c>
      <c r="N386" s="22"/>
      <c r="O386" s="22"/>
      <c r="P386" s="22"/>
    </row>
    <row r="387" spans="1:16" x14ac:dyDescent="0.35">
      <c r="A387">
        <v>6852</v>
      </c>
      <c r="B387" t="s">
        <v>472</v>
      </c>
      <c r="C387" s="1">
        <v>45561</v>
      </c>
      <c r="D387" t="s">
        <v>24</v>
      </c>
      <c r="E387" t="s">
        <v>25</v>
      </c>
      <c r="F387" s="6">
        <v>707995</v>
      </c>
      <c r="G387">
        <v>2</v>
      </c>
      <c r="H387" s="6">
        <v>1415990</v>
      </c>
      <c r="I387" t="s">
        <v>931</v>
      </c>
      <c r="J387" t="s">
        <v>3</v>
      </c>
      <c r="K387" t="s">
        <v>539</v>
      </c>
      <c r="L387" t="str">
        <f>IF(Base_ventas[[#This Row],[Método_pago]]="Efectivo","Efectivo","Electrónico")</f>
        <v>Electrónico</v>
      </c>
      <c r="M387" t="str">
        <f t="shared" si="5"/>
        <v>Venta promedio</v>
      </c>
      <c r="N387" s="22"/>
      <c r="O387" s="22"/>
      <c r="P387" s="22"/>
    </row>
    <row r="388" spans="1:16" x14ac:dyDescent="0.35">
      <c r="A388">
        <v>3784</v>
      </c>
      <c r="B388" t="s">
        <v>473</v>
      </c>
      <c r="C388" s="1">
        <v>45562</v>
      </c>
      <c r="D388" t="s">
        <v>22</v>
      </c>
      <c r="E388" t="s">
        <v>23</v>
      </c>
      <c r="F388" s="6">
        <v>741722</v>
      </c>
      <c r="G388">
        <v>2</v>
      </c>
      <c r="H388" s="6">
        <v>1483444</v>
      </c>
      <c r="I388" t="s">
        <v>932</v>
      </c>
      <c r="J388" t="s">
        <v>4</v>
      </c>
      <c r="K388" t="s">
        <v>622</v>
      </c>
      <c r="L388" t="str">
        <f>IF(Base_ventas[[#This Row],[Método_pago]]="Efectivo","Efectivo","Electrónico")</f>
        <v>Electrónico</v>
      </c>
      <c r="M388" t="str">
        <f t="shared" ref="M388:M451" si="6">IF(AND(G388&gt;2,H388&gt;=1000000),"Best seller","Venta promedio")</f>
        <v>Venta promedio</v>
      </c>
      <c r="N388" s="22"/>
      <c r="O388" s="22"/>
      <c r="P388" s="22"/>
    </row>
    <row r="389" spans="1:16" x14ac:dyDescent="0.35">
      <c r="A389">
        <v>5756</v>
      </c>
      <c r="B389" t="s">
        <v>474</v>
      </c>
      <c r="C389" s="1">
        <v>45563</v>
      </c>
      <c r="D389" t="s">
        <v>24</v>
      </c>
      <c r="E389" t="s">
        <v>25</v>
      </c>
      <c r="F389" s="6">
        <v>707995</v>
      </c>
      <c r="G389">
        <v>1</v>
      </c>
      <c r="H389" s="6">
        <v>707995</v>
      </c>
      <c r="I389" t="s">
        <v>933</v>
      </c>
      <c r="J389" t="s">
        <v>1608</v>
      </c>
      <c r="K389" t="s">
        <v>545</v>
      </c>
      <c r="L389" t="str">
        <f>IF(Base_ventas[[#This Row],[Método_pago]]="Efectivo","Efectivo","Electrónico")</f>
        <v>Electrónico</v>
      </c>
      <c r="M389" t="str">
        <f t="shared" si="6"/>
        <v>Venta promedio</v>
      </c>
      <c r="N389" s="22"/>
      <c r="O389" s="22"/>
      <c r="P389" s="22"/>
    </row>
    <row r="390" spans="1:16" x14ac:dyDescent="0.35">
      <c r="A390">
        <v>4087</v>
      </c>
      <c r="B390" t="s">
        <v>50</v>
      </c>
      <c r="C390" s="1">
        <v>45564</v>
      </c>
      <c r="D390" t="s">
        <v>28</v>
      </c>
      <c r="E390" t="s">
        <v>1</v>
      </c>
      <c r="F390" s="6">
        <v>177881</v>
      </c>
      <c r="G390">
        <v>3</v>
      </c>
      <c r="H390" s="6">
        <v>533643</v>
      </c>
      <c r="I390" t="s">
        <v>934</v>
      </c>
      <c r="J390" t="s">
        <v>2</v>
      </c>
      <c r="K390" t="s">
        <v>571</v>
      </c>
      <c r="L390" t="str">
        <f>IF(Base_ventas[[#This Row],[Método_pago]]="Efectivo","Efectivo","Electrónico")</f>
        <v>Efectivo</v>
      </c>
      <c r="M390" t="str">
        <f t="shared" si="6"/>
        <v>Venta promedio</v>
      </c>
      <c r="N390" s="22"/>
      <c r="O390" s="22"/>
      <c r="P390" s="22"/>
    </row>
    <row r="391" spans="1:16" x14ac:dyDescent="0.35">
      <c r="A391">
        <v>6750</v>
      </c>
      <c r="B391" t="s">
        <v>475</v>
      </c>
      <c r="C391" s="1">
        <v>45564</v>
      </c>
      <c r="D391" t="s">
        <v>30</v>
      </c>
      <c r="E391" t="s">
        <v>1</v>
      </c>
      <c r="F391" s="6">
        <v>114971</v>
      </c>
      <c r="G391">
        <v>1</v>
      </c>
      <c r="H391" s="6">
        <v>114971</v>
      </c>
      <c r="I391" t="s">
        <v>935</v>
      </c>
      <c r="J391" t="s">
        <v>3</v>
      </c>
      <c r="K391" t="s">
        <v>537</v>
      </c>
      <c r="L391" t="str">
        <f>IF(Base_ventas[[#This Row],[Método_pago]]="Efectivo","Efectivo","Electrónico")</f>
        <v>Electrónico</v>
      </c>
      <c r="M391" t="str">
        <f t="shared" si="6"/>
        <v>Venta promedio</v>
      </c>
      <c r="N391" s="22"/>
      <c r="O391" s="22"/>
      <c r="P391" s="22"/>
    </row>
    <row r="392" spans="1:16" x14ac:dyDescent="0.35">
      <c r="A392">
        <v>6520</v>
      </c>
      <c r="B392" t="s">
        <v>476</v>
      </c>
      <c r="C392" s="1">
        <v>45564</v>
      </c>
      <c r="D392" t="s">
        <v>30</v>
      </c>
      <c r="E392" t="s">
        <v>1</v>
      </c>
      <c r="F392" s="6">
        <v>114971</v>
      </c>
      <c r="G392">
        <v>2</v>
      </c>
      <c r="H392" s="6">
        <v>229942</v>
      </c>
      <c r="I392" t="s">
        <v>936</v>
      </c>
      <c r="J392" t="s">
        <v>3</v>
      </c>
      <c r="K392" t="s">
        <v>602</v>
      </c>
      <c r="L392" t="str">
        <f>IF(Base_ventas[[#This Row],[Método_pago]]="Efectivo","Efectivo","Electrónico")</f>
        <v>Electrónico</v>
      </c>
      <c r="M392" t="str">
        <f t="shared" si="6"/>
        <v>Venta promedio</v>
      </c>
      <c r="N392" s="22"/>
      <c r="O392" s="22"/>
      <c r="P392" s="22"/>
    </row>
    <row r="393" spans="1:16" x14ac:dyDescent="0.35">
      <c r="A393">
        <v>4782</v>
      </c>
      <c r="B393" t="s">
        <v>153</v>
      </c>
      <c r="C393" s="1">
        <v>45565</v>
      </c>
      <c r="D393" t="s">
        <v>26</v>
      </c>
      <c r="E393" t="s">
        <v>25</v>
      </c>
      <c r="F393" s="6">
        <v>1844533</v>
      </c>
      <c r="G393">
        <v>3</v>
      </c>
      <c r="H393" s="6">
        <v>5533599</v>
      </c>
      <c r="I393" t="s">
        <v>937</v>
      </c>
      <c r="J393" t="s">
        <v>4</v>
      </c>
      <c r="K393" t="s">
        <v>547</v>
      </c>
      <c r="L393" t="str">
        <f>IF(Base_ventas[[#This Row],[Método_pago]]="Efectivo","Efectivo","Electrónico")</f>
        <v>Electrónico</v>
      </c>
      <c r="M393" t="str">
        <f t="shared" si="6"/>
        <v>Best seller</v>
      </c>
      <c r="N393" s="22"/>
      <c r="O393" s="22"/>
      <c r="P393" s="22"/>
    </row>
    <row r="394" spans="1:16" x14ac:dyDescent="0.35">
      <c r="A394">
        <v>3121</v>
      </c>
      <c r="B394" t="s">
        <v>477</v>
      </c>
      <c r="C394" s="1">
        <v>45566</v>
      </c>
      <c r="D394" t="s">
        <v>22</v>
      </c>
      <c r="E394" t="s">
        <v>23</v>
      </c>
      <c r="F394" s="6">
        <v>741722</v>
      </c>
      <c r="G394">
        <v>1</v>
      </c>
      <c r="H394" s="6">
        <v>741722</v>
      </c>
      <c r="I394" t="s">
        <v>938</v>
      </c>
      <c r="J394" t="s">
        <v>4</v>
      </c>
      <c r="K394" t="s">
        <v>533</v>
      </c>
      <c r="L394" t="str">
        <f>IF(Base_ventas[[#This Row],[Método_pago]]="Efectivo","Efectivo","Electrónico")</f>
        <v>Electrónico</v>
      </c>
      <c r="M394" t="str">
        <f t="shared" si="6"/>
        <v>Venta promedio</v>
      </c>
      <c r="N394" s="22"/>
      <c r="O394" s="22"/>
      <c r="P394" s="22"/>
    </row>
    <row r="395" spans="1:16" x14ac:dyDescent="0.35">
      <c r="A395">
        <v>1199</v>
      </c>
      <c r="B395" t="s">
        <v>478</v>
      </c>
      <c r="C395" s="1">
        <v>45567</v>
      </c>
      <c r="D395" t="s">
        <v>26</v>
      </c>
      <c r="E395" t="s">
        <v>25</v>
      </c>
      <c r="F395" s="6">
        <v>1844533</v>
      </c>
      <c r="G395">
        <v>3</v>
      </c>
      <c r="H395" s="6">
        <v>5533599</v>
      </c>
      <c r="I395" t="s">
        <v>939</v>
      </c>
      <c r="J395" t="s">
        <v>2</v>
      </c>
      <c r="K395" t="s">
        <v>602</v>
      </c>
      <c r="L395" t="str">
        <f>IF(Base_ventas[[#This Row],[Método_pago]]="Efectivo","Efectivo","Electrónico")</f>
        <v>Efectivo</v>
      </c>
      <c r="M395" t="str">
        <f t="shared" si="6"/>
        <v>Best seller</v>
      </c>
      <c r="N395" s="22"/>
      <c r="O395" s="22"/>
      <c r="P395" s="22"/>
    </row>
    <row r="396" spans="1:16" x14ac:dyDescent="0.35">
      <c r="A396">
        <v>2905</v>
      </c>
      <c r="B396" t="s">
        <v>479</v>
      </c>
      <c r="C396" s="1">
        <v>45567</v>
      </c>
      <c r="D396" t="s">
        <v>30</v>
      </c>
      <c r="E396" t="s">
        <v>1</v>
      </c>
      <c r="F396" s="6">
        <v>114971</v>
      </c>
      <c r="G396">
        <v>2</v>
      </c>
      <c r="H396" s="6">
        <v>229942</v>
      </c>
      <c r="I396" t="s">
        <v>940</v>
      </c>
      <c r="J396" t="s">
        <v>2</v>
      </c>
      <c r="K396" t="s">
        <v>571</v>
      </c>
      <c r="L396" t="str">
        <f>IF(Base_ventas[[#This Row],[Método_pago]]="Efectivo","Efectivo","Electrónico")</f>
        <v>Efectivo</v>
      </c>
      <c r="M396" t="str">
        <f t="shared" si="6"/>
        <v>Venta promedio</v>
      </c>
      <c r="N396" s="22"/>
      <c r="O396" s="22"/>
      <c r="P396" s="22"/>
    </row>
    <row r="397" spans="1:16" x14ac:dyDescent="0.35">
      <c r="A397">
        <v>1960</v>
      </c>
      <c r="B397" t="s">
        <v>480</v>
      </c>
      <c r="C397" s="1">
        <v>45567</v>
      </c>
      <c r="D397" t="s">
        <v>22</v>
      </c>
      <c r="E397" t="s">
        <v>23</v>
      </c>
      <c r="F397" s="6">
        <v>741722</v>
      </c>
      <c r="G397">
        <v>3</v>
      </c>
      <c r="H397" s="6">
        <v>2225166</v>
      </c>
      <c r="I397" t="s">
        <v>941</v>
      </c>
      <c r="J397" t="s">
        <v>2</v>
      </c>
      <c r="K397" t="s">
        <v>577</v>
      </c>
      <c r="L397" t="str">
        <f>IF(Base_ventas[[#This Row],[Método_pago]]="Efectivo","Efectivo","Electrónico")</f>
        <v>Efectivo</v>
      </c>
      <c r="M397" t="str">
        <f t="shared" si="6"/>
        <v>Best seller</v>
      </c>
      <c r="N397" s="22"/>
      <c r="O397" s="22"/>
      <c r="P397" s="22"/>
    </row>
    <row r="398" spans="1:16" x14ac:dyDescent="0.35">
      <c r="A398">
        <v>1539</v>
      </c>
      <c r="B398" t="s">
        <v>137</v>
      </c>
      <c r="C398" s="1">
        <v>45568</v>
      </c>
      <c r="D398" t="s">
        <v>28</v>
      </c>
      <c r="E398" t="s">
        <v>1</v>
      </c>
      <c r="F398" s="6">
        <v>177881</v>
      </c>
      <c r="G398">
        <v>3</v>
      </c>
      <c r="H398" s="6">
        <v>533643</v>
      </c>
      <c r="I398" t="s">
        <v>942</v>
      </c>
      <c r="J398" t="s">
        <v>4</v>
      </c>
      <c r="K398" t="s">
        <v>561</v>
      </c>
      <c r="L398" t="str">
        <f>IF(Base_ventas[[#This Row],[Método_pago]]="Efectivo","Efectivo","Electrónico")</f>
        <v>Electrónico</v>
      </c>
      <c r="M398" t="str">
        <f t="shared" si="6"/>
        <v>Venta promedio</v>
      </c>
      <c r="N398" s="22"/>
      <c r="O398" s="22"/>
      <c r="P398" s="22"/>
    </row>
    <row r="399" spans="1:16" x14ac:dyDescent="0.35">
      <c r="A399">
        <v>5256</v>
      </c>
      <c r="B399" t="s">
        <v>79</v>
      </c>
      <c r="C399" s="1">
        <v>45570</v>
      </c>
      <c r="D399" t="s">
        <v>22</v>
      </c>
      <c r="E399" t="s">
        <v>23</v>
      </c>
      <c r="F399" s="6">
        <v>741722</v>
      </c>
      <c r="G399">
        <v>1</v>
      </c>
      <c r="H399" s="6">
        <v>741722</v>
      </c>
      <c r="I399" t="s">
        <v>943</v>
      </c>
      <c r="J399" t="s">
        <v>1608</v>
      </c>
      <c r="K399" t="s">
        <v>622</v>
      </c>
      <c r="L399" t="str">
        <f>IF(Base_ventas[[#This Row],[Método_pago]]="Efectivo","Efectivo","Electrónico")</f>
        <v>Electrónico</v>
      </c>
      <c r="M399" t="str">
        <f t="shared" si="6"/>
        <v>Venta promedio</v>
      </c>
      <c r="N399" s="22"/>
      <c r="O399" s="22"/>
      <c r="P399" s="22"/>
    </row>
    <row r="400" spans="1:16" x14ac:dyDescent="0.35">
      <c r="A400">
        <v>3198</v>
      </c>
      <c r="B400" t="s">
        <v>481</v>
      </c>
      <c r="C400" s="1">
        <v>45570</v>
      </c>
      <c r="D400" t="s">
        <v>28</v>
      </c>
      <c r="E400" t="s">
        <v>1</v>
      </c>
      <c r="F400" s="6">
        <v>177881</v>
      </c>
      <c r="G400">
        <v>1</v>
      </c>
      <c r="H400" s="6">
        <v>177881</v>
      </c>
      <c r="I400" t="s">
        <v>944</v>
      </c>
      <c r="J400" t="s">
        <v>3</v>
      </c>
      <c r="K400" t="s">
        <v>539</v>
      </c>
      <c r="L400" t="str">
        <f>IF(Base_ventas[[#This Row],[Método_pago]]="Efectivo","Efectivo","Electrónico")</f>
        <v>Electrónico</v>
      </c>
      <c r="M400" t="str">
        <f t="shared" si="6"/>
        <v>Venta promedio</v>
      </c>
      <c r="N400" s="22"/>
      <c r="O400" s="22"/>
      <c r="P400" s="22"/>
    </row>
    <row r="401" spans="1:16" x14ac:dyDescent="0.35">
      <c r="A401">
        <v>1803</v>
      </c>
      <c r="B401" t="s">
        <v>482</v>
      </c>
      <c r="C401" s="1">
        <v>45571</v>
      </c>
      <c r="D401" t="s">
        <v>24</v>
      </c>
      <c r="E401" t="s">
        <v>25</v>
      </c>
      <c r="F401" s="6">
        <v>707995</v>
      </c>
      <c r="G401">
        <v>2</v>
      </c>
      <c r="H401" s="6">
        <v>1415990</v>
      </c>
      <c r="I401" t="s">
        <v>945</v>
      </c>
      <c r="J401" t="s">
        <v>2</v>
      </c>
      <c r="K401" t="s">
        <v>537</v>
      </c>
      <c r="L401" t="str">
        <f>IF(Base_ventas[[#This Row],[Método_pago]]="Efectivo","Efectivo","Electrónico")</f>
        <v>Efectivo</v>
      </c>
      <c r="M401" t="str">
        <f t="shared" si="6"/>
        <v>Venta promedio</v>
      </c>
      <c r="N401" s="22"/>
      <c r="O401" s="22"/>
      <c r="P401" s="22"/>
    </row>
    <row r="402" spans="1:16" x14ac:dyDescent="0.35">
      <c r="A402">
        <v>1710</v>
      </c>
      <c r="B402" t="s">
        <v>206</v>
      </c>
      <c r="C402" s="1">
        <v>45573</v>
      </c>
      <c r="D402" t="s">
        <v>22</v>
      </c>
      <c r="E402" t="s">
        <v>23</v>
      </c>
      <c r="F402" s="6">
        <v>741722</v>
      </c>
      <c r="G402">
        <v>1</v>
      </c>
      <c r="H402" s="6">
        <v>741722</v>
      </c>
      <c r="I402" t="s">
        <v>946</v>
      </c>
      <c r="J402" t="s">
        <v>2</v>
      </c>
      <c r="K402" t="s">
        <v>533</v>
      </c>
      <c r="L402" t="str">
        <f>IF(Base_ventas[[#This Row],[Método_pago]]="Efectivo","Efectivo","Electrónico")</f>
        <v>Efectivo</v>
      </c>
      <c r="M402" t="str">
        <f t="shared" si="6"/>
        <v>Venta promedio</v>
      </c>
      <c r="N402" s="22"/>
      <c r="O402" s="22"/>
      <c r="P402" s="22"/>
    </row>
    <row r="403" spans="1:16" x14ac:dyDescent="0.35">
      <c r="A403">
        <v>5091</v>
      </c>
      <c r="B403" t="s">
        <v>97</v>
      </c>
      <c r="C403" s="1">
        <v>45574</v>
      </c>
      <c r="D403" t="s">
        <v>24</v>
      </c>
      <c r="E403" t="s">
        <v>25</v>
      </c>
      <c r="F403" s="6">
        <v>707995</v>
      </c>
      <c r="G403">
        <v>3</v>
      </c>
      <c r="H403" s="6">
        <v>2123985</v>
      </c>
      <c r="I403" t="s">
        <v>947</v>
      </c>
      <c r="J403" t="s">
        <v>1608</v>
      </c>
      <c r="K403" t="s">
        <v>577</v>
      </c>
      <c r="L403" t="str">
        <f>IF(Base_ventas[[#This Row],[Método_pago]]="Efectivo","Efectivo","Electrónico")</f>
        <v>Electrónico</v>
      </c>
      <c r="M403" t="str">
        <f t="shared" si="6"/>
        <v>Best seller</v>
      </c>
      <c r="N403" s="22"/>
      <c r="O403" s="22"/>
      <c r="P403" s="22"/>
    </row>
    <row r="404" spans="1:16" x14ac:dyDescent="0.35">
      <c r="A404">
        <v>3363</v>
      </c>
      <c r="B404" t="s">
        <v>483</v>
      </c>
      <c r="C404" s="1">
        <v>45574</v>
      </c>
      <c r="D404" t="s">
        <v>24</v>
      </c>
      <c r="E404" t="s">
        <v>25</v>
      </c>
      <c r="F404" s="6">
        <v>707995</v>
      </c>
      <c r="G404">
        <v>2</v>
      </c>
      <c r="H404" s="6">
        <v>1415990</v>
      </c>
      <c r="I404" t="s">
        <v>948</v>
      </c>
      <c r="J404" t="s">
        <v>2</v>
      </c>
      <c r="K404" t="s">
        <v>537</v>
      </c>
      <c r="L404" t="str">
        <f>IF(Base_ventas[[#This Row],[Método_pago]]="Efectivo","Efectivo","Electrónico")</f>
        <v>Efectivo</v>
      </c>
      <c r="M404" t="str">
        <f t="shared" si="6"/>
        <v>Venta promedio</v>
      </c>
      <c r="N404" s="22"/>
      <c r="O404" s="22"/>
      <c r="P404" s="22"/>
    </row>
    <row r="405" spans="1:16" x14ac:dyDescent="0.35">
      <c r="A405">
        <v>1804</v>
      </c>
      <c r="B405" t="s">
        <v>133</v>
      </c>
      <c r="C405" s="1">
        <v>45575</v>
      </c>
      <c r="D405" t="s">
        <v>28</v>
      </c>
      <c r="E405" t="s">
        <v>1</v>
      </c>
      <c r="F405" s="6">
        <v>177881</v>
      </c>
      <c r="G405">
        <v>1</v>
      </c>
      <c r="H405" s="6">
        <v>177881</v>
      </c>
      <c r="I405" t="s">
        <v>949</v>
      </c>
      <c r="J405" t="s">
        <v>1608</v>
      </c>
      <c r="K405" t="s">
        <v>541</v>
      </c>
      <c r="L405" t="str">
        <f>IF(Base_ventas[[#This Row],[Método_pago]]="Efectivo","Efectivo","Electrónico")</f>
        <v>Electrónico</v>
      </c>
      <c r="M405" t="str">
        <f t="shared" si="6"/>
        <v>Venta promedio</v>
      </c>
      <c r="N405" s="22"/>
      <c r="O405" s="22"/>
      <c r="P405" s="22"/>
    </row>
    <row r="406" spans="1:16" x14ac:dyDescent="0.35">
      <c r="A406">
        <v>6428</v>
      </c>
      <c r="B406" t="s">
        <v>484</v>
      </c>
      <c r="C406" s="1">
        <v>45575</v>
      </c>
      <c r="D406" t="s">
        <v>26</v>
      </c>
      <c r="E406" t="s">
        <v>25</v>
      </c>
      <c r="F406" s="6">
        <v>1844533</v>
      </c>
      <c r="G406">
        <v>2</v>
      </c>
      <c r="H406" s="6">
        <v>3689066</v>
      </c>
      <c r="I406" t="s">
        <v>950</v>
      </c>
      <c r="J406" t="s">
        <v>4</v>
      </c>
      <c r="K406" t="s">
        <v>577</v>
      </c>
      <c r="L406" t="str">
        <f>IF(Base_ventas[[#This Row],[Método_pago]]="Efectivo","Efectivo","Electrónico")</f>
        <v>Electrónico</v>
      </c>
      <c r="M406" t="str">
        <f t="shared" si="6"/>
        <v>Venta promedio</v>
      </c>
      <c r="N406" s="22"/>
      <c r="O406" s="22"/>
      <c r="P406" s="22"/>
    </row>
    <row r="407" spans="1:16" x14ac:dyDescent="0.35">
      <c r="A407">
        <v>3202</v>
      </c>
      <c r="B407" t="s">
        <v>236</v>
      </c>
      <c r="C407" s="1">
        <v>45576</v>
      </c>
      <c r="D407" t="s">
        <v>28</v>
      </c>
      <c r="E407" t="s">
        <v>1</v>
      </c>
      <c r="F407" s="6">
        <v>177881</v>
      </c>
      <c r="G407">
        <v>2</v>
      </c>
      <c r="H407" s="6">
        <v>355762</v>
      </c>
      <c r="I407" t="s">
        <v>951</v>
      </c>
      <c r="J407" t="s">
        <v>4</v>
      </c>
      <c r="K407" t="s">
        <v>543</v>
      </c>
      <c r="L407" t="str">
        <f>IF(Base_ventas[[#This Row],[Método_pago]]="Efectivo","Efectivo","Electrónico")</f>
        <v>Electrónico</v>
      </c>
      <c r="M407" t="str">
        <f t="shared" si="6"/>
        <v>Venta promedio</v>
      </c>
      <c r="N407" s="22"/>
      <c r="O407" s="22"/>
      <c r="P407" s="22"/>
    </row>
    <row r="408" spans="1:16" x14ac:dyDescent="0.35">
      <c r="A408">
        <v>5235</v>
      </c>
      <c r="B408" t="s">
        <v>485</v>
      </c>
      <c r="C408" s="1">
        <v>45577</v>
      </c>
      <c r="D408" t="s">
        <v>24</v>
      </c>
      <c r="E408" t="s">
        <v>25</v>
      </c>
      <c r="F408" s="6">
        <v>707995</v>
      </c>
      <c r="G408">
        <v>2</v>
      </c>
      <c r="H408" s="6">
        <v>1415990</v>
      </c>
      <c r="I408" t="s">
        <v>952</v>
      </c>
      <c r="J408" t="s">
        <v>3</v>
      </c>
      <c r="K408" t="s">
        <v>579</v>
      </c>
      <c r="L408" t="str">
        <f>IF(Base_ventas[[#This Row],[Método_pago]]="Efectivo","Efectivo","Electrónico")</f>
        <v>Electrónico</v>
      </c>
      <c r="M408" t="str">
        <f t="shared" si="6"/>
        <v>Venta promedio</v>
      </c>
      <c r="N408" s="22"/>
      <c r="O408" s="22"/>
      <c r="P408" s="22"/>
    </row>
    <row r="409" spans="1:16" x14ac:dyDescent="0.35">
      <c r="A409">
        <v>9293</v>
      </c>
      <c r="B409" t="s">
        <v>486</v>
      </c>
      <c r="C409" s="1">
        <v>45578</v>
      </c>
      <c r="D409" t="s">
        <v>26</v>
      </c>
      <c r="E409" t="s">
        <v>25</v>
      </c>
      <c r="F409" s="6">
        <v>1844533</v>
      </c>
      <c r="G409">
        <v>3</v>
      </c>
      <c r="H409" s="6">
        <v>5533599</v>
      </c>
      <c r="I409" t="s">
        <v>953</v>
      </c>
      <c r="J409" t="s">
        <v>1608</v>
      </c>
      <c r="K409" t="s">
        <v>539</v>
      </c>
      <c r="L409" t="str">
        <f>IF(Base_ventas[[#This Row],[Método_pago]]="Efectivo","Efectivo","Electrónico")</f>
        <v>Electrónico</v>
      </c>
      <c r="M409" t="str">
        <f t="shared" si="6"/>
        <v>Best seller</v>
      </c>
      <c r="N409" s="22"/>
      <c r="O409" s="22"/>
      <c r="P409" s="22"/>
    </row>
    <row r="410" spans="1:16" x14ac:dyDescent="0.35">
      <c r="A410">
        <v>3799</v>
      </c>
      <c r="B410" t="s">
        <v>487</v>
      </c>
      <c r="C410" s="1">
        <v>45579</v>
      </c>
      <c r="D410" t="s">
        <v>28</v>
      </c>
      <c r="E410" t="s">
        <v>1</v>
      </c>
      <c r="F410" s="6">
        <v>177881</v>
      </c>
      <c r="G410">
        <v>2</v>
      </c>
      <c r="H410" s="6">
        <v>355762</v>
      </c>
      <c r="I410" t="s">
        <v>954</v>
      </c>
      <c r="J410" t="s">
        <v>2</v>
      </c>
      <c r="K410" t="s">
        <v>547</v>
      </c>
      <c r="L410" t="str">
        <f>IF(Base_ventas[[#This Row],[Método_pago]]="Efectivo","Efectivo","Electrónico")</f>
        <v>Efectivo</v>
      </c>
      <c r="M410" t="str">
        <f t="shared" si="6"/>
        <v>Venta promedio</v>
      </c>
      <c r="N410" s="22"/>
      <c r="O410" s="22"/>
      <c r="P410" s="22"/>
    </row>
    <row r="411" spans="1:16" x14ac:dyDescent="0.35">
      <c r="A411">
        <v>7284</v>
      </c>
      <c r="B411" t="s">
        <v>488</v>
      </c>
      <c r="C411" s="1">
        <v>45580</v>
      </c>
      <c r="D411" t="s">
        <v>30</v>
      </c>
      <c r="E411" t="s">
        <v>1</v>
      </c>
      <c r="F411" s="6">
        <v>114971</v>
      </c>
      <c r="G411">
        <v>3</v>
      </c>
      <c r="H411" s="6">
        <v>344913</v>
      </c>
      <c r="I411" t="s">
        <v>955</v>
      </c>
      <c r="J411" t="s">
        <v>2</v>
      </c>
      <c r="K411" t="s">
        <v>622</v>
      </c>
      <c r="L411" t="str">
        <f>IF(Base_ventas[[#This Row],[Método_pago]]="Efectivo","Efectivo","Electrónico")</f>
        <v>Efectivo</v>
      </c>
      <c r="M411" t="str">
        <f t="shared" si="6"/>
        <v>Venta promedio</v>
      </c>
      <c r="N411" s="22"/>
      <c r="O411" s="22"/>
      <c r="P411" s="22"/>
    </row>
    <row r="412" spans="1:16" x14ac:dyDescent="0.35">
      <c r="A412">
        <v>7502</v>
      </c>
      <c r="B412" t="s">
        <v>151</v>
      </c>
      <c r="C412" s="1">
        <v>45580</v>
      </c>
      <c r="D412" t="s">
        <v>24</v>
      </c>
      <c r="E412" t="s">
        <v>25</v>
      </c>
      <c r="F412" s="6">
        <v>707995</v>
      </c>
      <c r="G412">
        <v>3</v>
      </c>
      <c r="H412" s="6">
        <v>2123985</v>
      </c>
      <c r="I412" t="s">
        <v>956</v>
      </c>
      <c r="J412" t="s">
        <v>1608</v>
      </c>
      <c r="K412" t="s">
        <v>541</v>
      </c>
      <c r="L412" t="str">
        <f>IF(Base_ventas[[#This Row],[Método_pago]]="Efectivo","Efectivo","Electrónico")</f>
        <v>Electrónico</v>
      </c>
      <c r="M412" t="str">
        <f t="shared" si="6"/>
        <v>Best seller</v>
      </c>
      <c r="N412" s="22"/>
      <c r="O412" s="22"/>
      <c r="P412" s="22"/>
    </row>
    <row r="413" spans="1:16" x14ac:dyDescent="0.35">
      <c r="A413">
        <v>4261</v>
      </c>
      <c r="B413" t="s">
        <v>489</v>
      </c>
      <c r="C413" s="1">
        <v>45580</v>
      </c>
      <c r="D413" t="s">
        <v>22</v>
      </c>
      <c r="E413" t="s">
        <v>23</v>
      </c>
      <c r="F413" s="6">
        <v>741722</v>
      </c>
      <c r="G413">
        <v>1</v>
      </c>
      <c r="H413" s="6">
        <v>741722</v>
      </c>
      <c r="I413" t="s">
        <v>957</v>
      </c>
      <c r="J413" t="s">
        <v>3</v>
      </c>
      <c r="K413" t="s">
        <v>543</v>
      </c>
      <c r="L413" t="str">
        <f>IF(Base_ventas[[#This Row],[Método_pago]]="Efectivo","Efectivo","Electrónico")</f>
        <v>Electrónico</v>
      </c>
      <c r="M413" t="str">
        <f t="shared" si="6"/>
        <v>Venta promedio</v>
      </c>
      <c r="N413" s="22"/>
      <c r="O413" s="22"/>
      <c r="P413" s="22"/>
    </row>
    <row r="414" spans="1:16" x14ac:dyDescent="0.35">
      <c r="A414">
        <v>1285</v>
      </c>
      <c r="B414" t="s">
        <v>490</v>
      </c>
      <c r="C414" s="1">
        <v>45582</v>
      </c>
      <c r="D414" t="s">
        <v>26</v>
      </c>
      <c r="E414" t="s">
        <v>25</v>
      </c>
      <c r="F414" s="6">
        <v>1844533</v>
      </c>
      <c r="G414">
        <v>2</v>
      </c>
      <c r="H414" s="6">
        <v>3689066</v>
      </c>
      <c r="I414" t="s">
        <v>958</v>
      </c>
      <c r="J414" t="s">
        <v>1608</v>
      </c>
      <c r="K414" t="s">
        <v>579</v>
      </c>
      <c r="L414" t="str">
        <f>IF(Base_ventas[[#This Row],[Método_pago]]="Efectivo","Efectivo","Electrónico")</f>
        <v>Electrónico</v>
      </c>
      <c r="M414" t="str">
        <f t="shared" si="6"/>
        <v>Venta promedio</v>
      </c>
      <c r="N414" s="22"/>
      <c r="O414" s="22"/>
      <c r="P414" s="22"/>
    </row>
    <row r="415" spans="1:16" x14ac:dyDescent="0.35">
      <c r="A415">
        <v>4388</v>
      </c>
      <c r="B415" t="s">
        <v>115</v>
      </c>
      <c r="C415" s="1">
        <v>45583</v>
      </c>
      <c r="D415" t="s">
        <v>28</v>
      </c>
      <c r="E415" t="s">
        <v>1</v>
      </c>
      <c r="F415" s="6">
        <v>177881</v>
      </c>
      <c r="G415">
        <v>1</v>
      </c>
      <c r="H415" s="6">
        <v>177881</v>
      </c>
      <c r="I415" t="s">
        <v>959</v>
      </c>
      <c r="J415" t="s">
        <v>2</v>
      </c>
      <c r="K415" t="s">
        <v>622</v>
      </c>
      <c r="L415" t="str">
        <f>IF(Base_ventas[[#This Row],[Método_pago]]="Efectivo","Efectivo","Electrónico")</f>
        <v>Efectivo</v>
      </c>
      <c r="M415" t="str">
        <f t="shared" si="6"/>
        <v>Venta promedio</v>
      </c>
      <c r="N415" s="22"/>
      <c r="O415" s="22"/>
      <c r="P415" s="22"/>
    </row>
    <row r="416" spans="1:16" x14ac:dyDescent="0.35">
      <c r="A416">
        <v>4697</v>
      </c>
      <c r="B416" t="s">
        <v>170</v>
      </c>
      <c r="C416" s="1">
        <v>45583</v>
      </c>
      <c r="D416" t="s">
        <v>24</v>
      </c>
      <c r="E416" t="s">
        <v>25</v>
      </c>
      <c r="F416" s="6">
        <v>707995</v>
      </c>
      <c r="G416">
        <v>1</v>
      </c>
      <c r="H416" s="6">
        <v>707995</v>
      </c>
      <c r="I416" t="s">
        <v>960</v>
      </c>
      <c r="J416" t="s">
        <v>3</v>
      </c>
      <c r="K416" t="s">
        <v>571</v>
      </c>
      <c r="L416" t="str">
        <f>IF(Base_ventas[[#This Row],[Método_pago]]="Efectivo","Efectivo","Electrónico")</f>
        <v>Electrónico</v>
      </c>
      <c r="M416" t="str">
        <f t="shared" si="6"/>
        <v>Venta promedio</v>
      </c>
      <c r="N416" s="22"/>
      <c r="O416" s="22"/>
      <c r="P416" s="22"/>
    </row>
    <row r="417" spans="1:16" x14ac:dyDescent="0.35">
      <c r="A417">
        <v>9030</v>
      </c>
      <c r="B417" t="s">
        <v>209</v>
      </c>
      <c r="C417" s="1">
        <v>45583</v>
      </c>
      <c r="D417" t="s">
        <v>24</v>
      </c>
      <c r="E417" t="s">
        <v>25</v>
      </c>
      <c r="F417" s="6">
        <v>707995</v>
      </c>
      <c r="G417">
        <v>2</v>
      </c>
      <c r="H417" s="6">
        <v>1415990</v>
      </c>
      <c r="I417" t="s">
        <v>961</v>
      </c>
      <c r="J417" t="s">
        <v>4</v>
      </c>
      <c r="K417" t="s">
        <v>561</v>
      </c>
      <c r="L417" t="str">
        <f>IF(Base_ventas[[#This Row],[Método_pago]]="Efectivo","Efectivo","Electrónico")</f>
        <v>Electrónico</v>
      </c>
      <c r="M417" t="str">
        <f t="shared" si="6"/>
        <v>Venta promedio</v>
      </c>
      <c r="N417" s="22"/>
      <c r="O417" s="22"/>
      <c r="P417" s="22"/>
    </row>
    <row r="418" spans="1:16" x14ac:dyDescent="0.35">
      <c r="A418">
        <v>1518</v>
      </c>
      <c r="B418" t="s">
        <v>491</v>
      </c>
      <c r="C418" s="1">
        <v>45583</v>
      </c>
      <c r="D418" t="s">
        <v>24</v>
      </c>
      <c r="E418" t="s">
        <v>25</v>
      </c>
      <c r="F418" s="6">
        <v>707995</v>
      </c>
      <c r="G418">
        <v>1</v>
      </c>
      <c r="H418" s="6">
        <v>707995</v>
      </c>
      <c r="I418" t="s">
        <v>962</v>
      </c>
      <c r="J418" t="s">
        <v>3</v>
      </c>
      <c r="K418" t="s">
        <v>537</v>
      </c>
      <c r="L418" t="str">
        <f>IF(Base_ventas[[#This Row],[Método_pago]]="Efectivo","Efectivo","Electrónico")</f>
        <v>Electrónico</v>
      </c>
      <c r="M418" t="str">
        <f t="shared" si="6"/>
        <v>Venta promedio</v>
      </c>
      <c r="N418" s="22"/>
      <c r="O418" s="22"/>
      <c r="P418" s="22"/>
    </row>
    <row r="419" spans="1:16" x14ac:dyDescent="0.35">
      <c r="A419">
        <v>9752</v>
      </c>
      <c r="B419" t="s">
        <v>492</v>
      </c>
      <c r="C419" s="1">
        <v>45584</v>
      </c>
      <c r="D419" t="s">
        <v>22</v>
      </c>
      <c r="E419" t="s">
        <v>23</v>
      </c>
      <c r="F419" s="6">
        <v>741722</v>
      </c>
      <c r="G419">
        <v>3</v>
      </c>
      <c r="H419" s="6">
        <v>2225166</v>
      </c>
      <c r="I419" t="s">
        <v>963</v>
      </c>
      <c r="J419" t="s">
        <v>2</v>
      </c>
      <c r="K419" t="s">
        <v>533</v>
      </c>
      <c r="L419" t="str">
        <f>IF(Base_ventas[[#This Row],[Método_pago]]="Efectivo","Efectivo","Electrónico")</f>
        <v>Efectivo</v>
      </c>
      <c r="M419" t="str">
        <f t="shared" si="6"/>
        <v>Best seller</v>
      </c>
      <c r="N419" s="22"/>
      <c r="O419" s="22"/>
      <c r="P419" s="22"/>
    </row>
    <row r="420" spans="1:16" x14ac:dyDescent="0.35">
      <c r="A420">
        <v>2800</v>
      </c>
      <c r="B420" t="s">
        <v>493</v>
      </c>
      <c r="C420" s="1">
        <v>45584</v>
      </c>
      <c r="D420" t="s">
        <v>24</v>
      </c>
      <c r="E420" t="s">
        <v>25</v>
      </c>
      <c r="F420" s="6">
        <v>707995</v>
      </c>
      <c r="G420">
        <v>1</v>
      </c>
      <c r="H420" s="6">
        <v>707995</v>
      </c>
      <c r="I420" t="s">
        <v>964</v>
      </c>
      <c r="J420" t="s">
        <v>3</v>
      </c>
      <c r="K420" t="s">
        <v>602</v>
      </c>
      <c r="L420" t="str">
        <f>IF(Base_ventas[[#This Row],[Método_pago]]="Efectivo","Efectivo","Electrónico")</f>
        <v>Electrónico</v>
      </c>
      <c r="M420" t="str">
        <f t="shared" si="6"/>
        <v>Venta promedio</v>
      </c>
      <c r="N420" s="22"/>
      <c r="O420" s="22"/>
      <c r="P420" s="22"/>
    </row>
    <row r="421" spans="1:16" x14ac:dyDescent="0.35">
      <c r="A421">
        <v>1574</v>
      </c>
      <c r="B421" t="s">
        <v>494</v>
      </c>
      <c r="C421" s="1">
        <v>45584</v>
      </c>
      <c r="D421" t="s">
        <v>24</v>
      </c>
      <c r="E421" t="s">
        <v>25</v>
      </c>
      <c r="F421" s="6">
        <v>707995</v>
      </c>
      <c r="G421">
        <v>1</v>
      </c>
      <c r="H421" s="6">
        <v>707995</v>
      </c>
      <c r="I421" t="s">
        <v>965</v>
      </c>
      <c r="J421" t="s">
        <v>2</v>
      </c>
      <c r="K421" t="s">
        <v>547</v>
      </c>
      <c r="L421" t="str">
        <f>IF(Base_ventas[[#This Row],[Método_pago]]="Efectivo","Efectivo","Electrónico")</f>
        <v>Efectivo</v>
      </c>
      <c r="M421" t="str">
        <f t="shared" si="6"/>
        <v>Venta promedio</v>
      </c>
      <c r="N421" s="22"/>
      <c r="O421" s="22"/>
      <c r="P421" s="22"/>
    </row>
    <row r="422" spans="1:16" x14ac:dyDescent="0.35">
      <c r="A422">
        <v>8414</v>
      </c>
      <c r="B422" t="s">
        <v>495</v>
      </c>
      <c r="C422" s="1">
        <v>45585</v>
      </c>
      <c r="D422" t="s">
        <v>24</v>
      </c>
      <c r="E422" t="s">
        <v>25</v>
      </c>
      <c r="F422" s="6">
        <v>707995</v>
      </c>
      <c r="G422">
        <v>2</v>
      </c>
      <c r="H422" s="6">
        <v>1415990</v>
      </c>
      <c r="I422" t="s">
        <v>966</v>
      </c>
      <c r="J422" t="s">
        <v>3</v>
      </c>
      <c r="K422" t="s">
        <v>547</v>
      </c>
      <c r="L422" t="str">
        <f>IF(Base_ventas[[#This Row],[Método_pago]]="Efectivo","Efectivo","Electrónico")</f>
        <v>Electrónico</v>
      </c>
      <c r="M422" t="str">
        <f t="shared" si="6"/>
        <v>Venta promedio</v>
      </c>
      <c r="N422" s="22"/>
      <c r="O422" s="22"/>
      <c r="P422" s="22"/>
    </row>
    <row r="423" spans="1:16" x14ac:dyDescent="0.35">
      <c r="A423">
        <v>1016</v>
      </c>
      <c r="B423" t="s">
        <v>496</v>
      </c>
      <c r="C423" s="1">
        <v>45586</v>
      </c>
      <c r="D423" t="s">
        <v>26</v>
      </c>
      <c r="E423" t="s">
        <v>25</v>
      </c>
      <c r="F423" s="6">
        <v>1844533</v>
      </c>
      <c r="G423">
        <v>3</v>
      </c>
      <c r="H423" s="6">
        <v>5533599</v>
      </c>
      <c r="I423" t="s">
        <v>967</v>
      </c>
      <c r="J423" t="s">
        <v>1608</v>
      </c>
      <c r="K423" t="s">
        <v>579</v>
      </c>
      <c r="L423" t="str">
        <f>IF(Base_ventas[[#This Row],[Método_pago]]="Efectivo","Efectivo","Electrónico")</f>
        <v>Electrónico</v>
      </c>
      <c r="M423" t="str">
        <f t="shared" si="6"/>
        <v>Best seller</v>
      </c>
      <c r="N423" s="22"/>
      <c r="O423" s="22"/>
      <c r="P423" s="22"/>
    </row>
    <row r="424" spans="1:16" x14ac:dyDescent="0.35">
      <c r="A424">
        <v>6782</v>
      </c>
      <c r="B424" t="s">
        <v>497</v>
      </c>
      <c r="C424" s="1">
        <v>45587</v>
      </c>
      <c r="D424" t="s">
        <v>26</v>
      </c>
      <c r="E424" t="s">
        <v>25</v>
      </c>
      <c r="F424" s="6">
        <v>1844533</v>
      </c>
      <c r="G424">
        <v>3</v>
      </c>
      <c r="H424" s="6">
        <v>5533599</v>
      </c>
      <c r="I424" t="s">
        <v>968</v>
      </c>
      <c r="J424" t="s">
        <v>3</v>
      </c>
      <c r="K424" t="s">
        <v>535</v>
      </c>
      <c r="L424" t="str">
        <f>IF(Base_ventas[[#This Row],[Método_pago]]="Efectivo","Efectivo","Electrónico")</f>
        <v>Electrónico</v>
      </c>
      <c r="M424" t="str">
        <f t="shared" si="6"/>
        <v>Best seller</v>
      </c>
      <c r="N424" s="22"/>
      <c r="O424" s="22"/>
      <c r="P424" s="22"/>
    </row>
    <row r="425" spans="1:16" x14ac:dyDescent="0.35">
      <c r="A425">
        <v>7088</v>
      </c>
      <c r="B425" t="s">
        <v>264</v>
      </c>
      <c r="C425" s="1">
        <v>45587</v>
      </c>
      <c r="D425" t="s">
        <v>22</v>
      </c>
      <c r="E425" t="s">
        <v>23</v>
      </c>
      <c r="F425" s="6">
        <v>741722</v>
      </c>
      <c r="G425">
        <v>2</v>
      </c>
      <c r="H425" s="6">
        <v>1483444</v>
      </c>
      <c r="I425" t="s">
        <v>969</v>
      </c>
      <c r="J425" t="s">
        <v>1608</v>
      </c>
      <c r="K425" t="s">
        <v>622</v>
      </c>
      <c r="L425" t="str">
        <f>IF(Base_ventas[[#This Row],[Método_pago]]="Efectivo","Efectivo","Electrónico")</f>
        <v>Electrónico</v>
      </c>
      <c r="M425" t="str">
        <f t="shared" si="6"/>
        <v>Venta promedio</v>
      </c>
      <c r="N425" s="22"/>
      <c r="O425" s="22"/>
      <c r="P425" s="22"/>
    </row>
    <row r="426" spans="1:16" x14ac:dyDescent="0.35">
      <c r="A426">
        <v>1082</v>
      </c>
      <c r="B426" t="s">
        <v>58</v>
      </c>
      <c r="C426" s="1">
        <v>45588</v>
      </c>
      <c r="D426" t="s">
        <v>30</v>
      </c>
      <c r="E426" t="s">
        <v>1</v>
      </c>
      <c r="F426" s="6">
        <v>114971</v>
      </c>
      <c r="G426">
        <v>1</v>
      </c>
      <c r="H426" s="6">
        <v>114971</v>
      </c>
      <c r="I426" t="s">
        <v>970</v>
      </c>
      <c r="J426" t="s">
        <v>1608</v>
      </c>
      <c r="K426" t="s">
        <v>543</v>
      </c>
      <c r="L426" t="str">
        <f>IF(Base_ventas[[#This Row],[Método_pago]]="Efectivo","Efectivo","Electrónico")</f>
        <v>Electrónico</v>
      </c>
      <c r="M426" t="str">
        <f t="shared" si="6"/>
        <v>Venta promedio</v>
      </c>
      <c r="N426" s="22"/>
      <c r="O426" s="22"/>
      <c r="P426" s="22"/>
    </row>
    <row r="427" spans="1:16" x14ac:dyDescent="0.35">
      <c r="A427">
        <v>8469</v>
      </c>
      <c r="B427" t="s">
        <v>267</v>
      </c>
      <c r="C427" s="1">
        <v>45588</v>
      </c>
      <c r="D427" t="s">
        <v>26</v>
      </c>
      <c r="E427" t="s">
        <v>25</v>
      </c>
      <c r="F427" s="6">
        <v>1844533</v>
      </c>
      <c r="G427">
        <v>2</v>
      </c>
      <c r="H427" s="6">
        <v>3689066</v>
      </c>
      <c r="I427" t="s">
        <v>971</v>
      </c>
      <c r="J427" t="s">
        <v>4</v>
      </c>
      <c r="K427" t="s">
        <v>541</v>
      </c>
      <c r="L427" t="str">
        <f>IF(Base_ventas[[#This Row],[Método_pago]]="Efectivo","Efectivo","Electrónico")</f>
        <v>Electrónico</v>
      </c>
      <c r="M427" t="str">
        <f t="shared" si="6"/>
        <v>Venta promedio</v>
      </c>
      <c r="N427" s="22"/>
      <c r="O427" s="22"/>
      <c r="P427" s="22"/>
    </row>
    <row r="428" spans="1:16" x14ac:dyDescent="0.35">
      <c r="A428">
        <v>8765</v>
      </c>
      <c r="B428" t="s">
        <v>101</v>
      </c>
      <c r="C428" s="1">
        <v>45589</v>
      </c>
      <c r="D428" t="s">
        <v>22</v>
      </c>
      <c r="E428" t="s">
        <v>23</v>
      </c>
      <c r="F428" s="6">
        <v>741722</v>
      </c>
      <c r="G428">
        <v>2</v>
      </c>
      <c r="H428" s="6">
        <v>1483444</v>
      </c>
      <c r="I428" t="s">
        <v>972</v>
      </c>
      <c r="J428" t="s">
        <v>4</v>
      </c>
      <c r="K428" t="s">
        <v>571</v>
      </c>
      <c r="L428" t="str">
        <f>IF(Base_ventas[[#This Row],[Método_pago]]="Efectivo","Efectivo","Electrónico")</f>
        <v>Electrónico</v>
      </c>
      <c r="M428" t="str">
        <f t="shared" si="6"/>
        <v>Venta promedio</v>
      </c>
      <c r="N428" s="22"/>
      <c r="O428" s="22"/>
      <c r="P428" s="22"/>
    </row>
    <row r="429" spans="1:16" x14ac:dyDescent="0.35">
      <c r="A429">
        <v>3093</v>
      </c>
      <c r="B429" t="s">
        <v>269</v>
      </c>
      <c r="C429" s="1">
        <v>45590</v>
      </c>
      <c r="D429" t="s">
        <v>28</v>
      </c>
      <c r="E429" t="s">
        <v>1</v>
      </c>
      <c r="F429" s="6">
        <v>177881</v>
      </c>
      <c r="G429">
        <v>3</v>
      </c>
      <c r="H429" s="6">
        <v>533643</v>
      </c>
      <c r="I429" t="s">
        <v>973</v>
      </c>
      <c r="J429" t="s">
        <v>3</v>
      </c>
      <c r="K429" t="s">
        <v>541</v>
      </c>
      <c r="L429" t="str">
        <f>IF(Base_ventas[[#This Row],[Método_pago]]="Efectivo","Efectivo","Electrónico")</f>
        <v>Electrónico</v>
      </c>
      <c r="M429" t="str">
        <f t="shared" si="6"/>
        <v>Venta promedio</v>
      </c>
      <c r="N429" s="22"/>
      <c r="O429" s="22"/>
      <c r="P429" s="22"/>
    </row>
    <row r="430" spans="1:16" x14ac:dyDescent="0.35">
      <c r="A430">
        <v>2323</v>
      </c>
      <c r="B430" t="s">
        <v>498</v>
      </c>
      <c r="C430" s="1">
        <v>45590</v>
      </c>
      <c r="D430" t="s">
        <v>22</v>
      </c>
      <c r="E430" t="s">
        <v>23</v>
      </c>
      <c r="F430" s="6">
        <v>741722</v>
      </c>
      <c r="G430">
        <v>2</v>
      </c>
      <c r="H430" s="6">
        <v>1483444</v>
      </c>
      <c r="I430" t="s">
        <v>974</v>
      </c>
      <c r="J430" t="s">
        <v>4</v>
      </c>
      <c r="K430" t="s">
        <v>581</v>
      </c>
      <c r="L430" t="str">
        <f>IF(Base_ventas[[#This Row],[Método_pago]]="Efectivo","Efectivo","Electrónico")</f>
        <v>Electrónico</v>
      </c>
      <c r="M430" t="str">
        <f t="shared" si="6"/>
        <v>Venta promedio</v>
      </c>
      <c r="N430" s="22"/>
      <c r="O430" s="22"/>
      <c r="P430" s="22"/>
    </row>
    <row r="431" spans="1:16" x14ac:dyDescent="0.35">
      <c r="A431">
        <v>8231</v>
      </c>
      <c r="B431" t="s">
        <v>126</v>
      </c>
      <c r="C431" s="1">
        <v>45593</v>
      </c>
      <c r="D431" t="s">
        <v>26</v>
      </c>
      <c r="E431" t="s">
        <v>25</v>
      </c>
      <c r="F431" s="6">
        <v>1844533</v>
      </c>
      <c r="G431">
        <v>1</v>
      </c>
      <c r="H431" s="6">
        <v>1844533</v>
      </c>
      <c r="I431" t="s">
        <v>975</v>
      </c>
      <c r="J431" t="s">
        <v>4</v>
      </c>
      <c r="K431" t="s">
        <v>571</v>
      </c>
      <c r="L431" t="str">
        <f>IF(Base_ventas[[#This Row],[Método_pago]]="Efectivo","Efectivo","Electrónico")</f>
        <v>Electrónico</v>
      </c>
      <c r="M431" t="str">
        <f t="shared" si="6"/>
        <v>Venta promedio</v>
      </c>
      <c r="N431" s="22"/>
      <c r="O431" s="22"/>
      <c r="P431" s="22"/>
    </row>
    <row r="432" spans="1:16" x14ac:dyDescent="0.35">
      <c r="A432">
        <v>7049</v>
      </c>
      <c r="B432" t="s">
        <v>238</v>
      </c>
      <c r="C432" s="1">
        <v>45593</v>
      </c>
      <c r="D432" t="s">
        <v>28</v>
      </c>
      <c r="E432" t="s">
        <v>1</v>
      </c>
      <c r="F432" s="6">
        <v>177881</v>
      </c>
      <c r="G432">
        <v>3</v>
      </c>
      <c r="H432" s="6">
        <v>533643</v>
      </c>
      <c r="I432" t="s">
        <v>976</v>
      </c>
      <c r="J432" t="s">
        <v>3</v>
      </c>
      <c r="K432" t="s">
        <v>577</v>
      </c>
      <c r="L432" t="str">
        <f>IF(Base_ventas[[#This Row],[Método_pago]]="Efectivo","Efectivo","Electrónico")</f>
        <v>Electrónico</v>
      </c>
      <c r="M432" t="str">
        <f t="shared" si="6"/>
        <v>Venta promedio</v>
      </c>
      <c r="N432" s="22"/>
      <c r="O432" s="22"/>
      <c r="P432" s="22"/>
    </row>
    <row r="433" spans="1:16" x14ac:dyDescent="0.35">
      <c r="A433">
        <v>6842</v>
      </c>
      <c r="B433" t="s">
        <v>499</v>
      </c>
      <c r="C433" s="1">
        <v>45593</v>
      </c>
      <c r="D433" t="s">
        <v>22</v>
      </c>
      <c r="E433" t="s">
        <v>23</v>
      </c>
      <c r="F433" s="6">
        <v>741722</v>
      </c>
      <c r="G433">
        <v>2</v>
      </c>
      <c r="H433" s="6">
        <v>1483444</v>
      </c>
      <c r="I433" t="s">
        <v>977</v>
      </c>
      <c r="J433" t="s">
        <v>4</v>
      </c>
      <c r="K433" t="s">
        <v>577</v>
      </c>
      <c r="L433" t="str">
        <f>IF(Base_ventas[[#This Row],[Método_pago]]="Efectivo","Efectivo","Electrónico")</f>
        <v>Electrónico</v>
      </c>
      <c r="M433" t="str">
        <f t="shared" si="6"/>
        <v>Venta promedio</v>
      </c>
      <c r="N433" s="22"/>
      <c r="O433" s="22"/>
      <c r="P433" s="22"/>
    </row>
    <row r="434" spans="1:16" x14ac:dyDescent="0.35">
      <c r="A434">
        <v>2236</v>
      </c>
      <c r="B434" t="s">
        <v>201</v>
      </c>
      <c r="C434" s="1">
        <v>45595</v>
      </c>
      <c r="D434" t="s">
        <v>30</v>
      </c>
      <c r="E434" t="s">
        <v>1</v>
      </c>
      <c r="F434" s="6">
        <v>114971</v>
      </c>
      <c r="G434">
        <v>3</v>
      </c>
      <c r="H434" s="6">
        <v>344913</v>
      </c>
      <c r="I434" t="s">
        <v>978</v>
      </c>
      <c r="J434" t="s">
        <v>3</v>
      </c>
      <c r="K434" t="s">
        <v>535</v>
      </c>
      <c r="L434" t="str">
        <f>IF(Base_ventas[[#This Row],[Método_pago]]="Efectivo","Efectivo","Electrónico")</f>
        <v>Electrónico</v>
      </c>
      <c r="M434" t="str">
        <f t="shared" si="6"/>
        <v>Venta promedio</v>
      </c>
      <c r="N434" s="22"/>
      <c r="O434" s="22"/>
      <c r="P434" s="22"/>
    </row>
    <row r="435" spans="1:16" x14ac:dyDescent="0.35">
      <c r="A435">
        <v>5234</v>
      </c>
      <c r="B435" t="s">
        <v>178</v>
      </c>
      <c r="C435" s="1">
        <v>45595</v>
      </c>
      <c r="D435" t="s">
        <v>22</v>
      </c>
      <c r="E435" t="s">
        <v>23</v>
      </c>
      <c r="F435" s="6">
        <v>741722</v>
      </c>
      <c r="G435">
        <v>1</v>
      </c>
      <c r="H435" s="6">
        <v>741722</v>
      </c>
      <c r="I435" t="s">
        <v>979</v>
      </c>
      <c r="J435" t="s">
        <v>4</v>
      </c>
      <c r="K435" t="s">
        <v>537</v>
      </c>
      <c r="L435" t="str">
        <f>IF(Base_ventas[[#This Row],[Método_pago]]="Efectivo","Efectivo","Electrónico")</f>
        <v>Electrónico</v>
      </c>
      <c r="M435" t="str">
        <f t="shared" si="6"/>
        <v>Venta promedio</v>
      </c>
      <c r="N435" s="22"/>
      <c r="O435" s="22"/>
      <c r="P435" s="22"/>
    </row>
    <row r="436" spans="1:16" x14ac:dyDescent="0.35">
      <c r="A436">
        <v>8293</v>
      </c>
      <c r="B436" t="s">
        <v>500</v>
      </c>
      <c r="C436" s="1">
        <v>45595</v>
      </c>
      <c r="D436" t="s">
        <v>30</v>
      </c>
      <c r="E436" t="s">
        <v>1</v>
      </c>
      <c r="F436" s="6">
        <v>114971</v>
      </c>
      <c r="G436">
        <v>1</v>
      </c>
      <c r="H436" s="6">
        <v>114971</v>
      </c>
      <c r="I436" t="s">
        <v>980</v>
      </c>
      <c r="J436" t="s">
        <v>1608</v>
      </c>
      <c r="K436" t="s">
        <v>579</v>
      </c>
      <c r="L436" t="str">
        <f>IF(Base_ventas[[#This Row],[Método_pago]]="Efectivo","Efectivo","Electrónico")</f>
        <v>Electrónico</v>
      </c>
      <c r="M436" t="str">
        <f t="shared" si="6"/>
        <v>Venta promedio</v>
      </c>
      <c r="N436" s="22"/>
      <c r="O436" s="22"/>
      <c r="P436" s="22"/>
    </row>
    <row r="437" spans="1:16" x14ac:dyDescent="0.35">
      <c r="A437">
        <v>3481</v>
      </c>
      <c r="B437" t="s">
        <v>501</v>
      </c>
      <c r="C437" s="1">
        <v>45595</v>
      </c>
      <c r="D437" t="s">
        <v>30</v>
      </c>
      <c r="E437" t="s">
        <v>1</v>
      </c>
      <c r="F437" s="6">
        <v>114971</v>
      </c>
      <c r="G437">
        <v>3</v>
      </c>
      <c r="H437" s="6">
        <v>344913</v>
      </c>
      <c r="I437" t="s">
        <v>981</v>
      </c>
      <c r="J437" t="s">
        <v>3</v>
      </c>
      <c r="K437" t="s">
        <v>602</v>
      </c>
      <c r="L437" t="str">
        <f>IF(Base_ventas[[#This Row],[Método_pago]]="Efectivo","Efectivo","Electrónico")</f>
        <v>Electrónico</v>
      </c>
      <c r="M437" t="str">
        <f t="shared" si="6"/>
        <v>Venta promedio</v>
      </c>
      <c r="N437" s="22"/>
      <c r="O437" s="22"/>
      <c r="P437" s="22"/>
    </row>
    <row r="438" spans="1:16" x14ac:dyDescent="0.35">
      <c r="A438">
        <v>4767</v>
      </c>
      <c r="B438" t="s">
        <v>181</v>
      </c>
      <c r="C438" s="1">
        <v>45595</v>
      </c>
      <c r="D438" t="s">
        <v>22</v>
      </c>
      <c r="E438" t="s">
        <v>23</v>
      </c>
      <c r="F438" s="6">
        <v>741722</v>
      </c>
      <c r="G438">
        <v>3</v>
      </c>
      <c r="H438" s="6">
        <v>2225166</v>
      </c>
      <c r="I438" t="s">
        <v>982</v>
      </c>
      <c r="J438" t="s">
        <v>2</v>
      </c>
      <c r="K438" t="s">
        <v>535</v>
      </c>
      <c r="L438" t="str">
        <f>IF(Base_ventas[[#This Row],[Método_pago]]="Efectivo","Efectivo","Electrónico")</f>
        <v>Efectivo</v>
      </c>
      <c r="M438" t="str">
        <f t="shared" si="6"/>
        <v>Best seller</v>
      </c>
      <c r="N438" s="22"/>
      <c r="O438" s="22"/>
      <c r="P438" s="22"/>
    </row>
    <row r="439" spans="1:16" x14ac:dyDescent="0.35">
      <c r="A439">
        <v>3825</v>
      </c>
      <c r="B439" t="s">
        <v>502</v>
      </c>
      <c r="C439" s="1">
        <v>45596</v>
      </c>
      <c r="D439" t="s">
        <v>26</v>
      </c>
      <c r="E439" t="s">
        <v>25</v>
      </c>
      <c r="F439" s="6">
        <v>1844533</v>
      </c>
      <c r="G439">
        <v>2</v>
      </c>
      <c r="H439" s="6">
        <v>3689066</v>
      </c>
      <c r="I439" t="s">
        <v>983</v>
      </c>
      <c r="J439" t="s">
        <v>2</v>
      </c>
      <c r="K439" t="s">
        <v>539</v>
      </c>
      <c r="L439" t="str">
        <f>IF(Base_ventas[[#This Row],[Método_pago]]="Efectivo","Efectivo","Electrónico")</f>
        <v>Efectivo</v>
      </c>
      <c r="M439" t="str">
        <f t="shared" si="6"/>
        <v>Venta promedio</v>
      </c>
      <c r="N439" s="22"/>
      <c r="O439" s="22"/>
      <c r="P439" s="22"/>
    </row>
    <row r="440" spans="1:16" x14ac:dyDescent="0.35">
      <c r="A440">
        <v>1373</v>
      </c>
      <c r="B440" t="s">
        <v>503</v>
      </c>
      <c r="C440" s="1">
        <v>45596</v>
      </c>
      <c r="D440" t="s">
        <v>30</v>
      </c>
      <c r="E440" t="s">
        <v>1</v>
      </c>
      <c r="F440" s="6">
        <v>114971</v>
      </c>
      <c r="G440">
        <v>1</v>
      </c>
      <c r="H440" s="6">
        <v>114971</v>
      </c>
      <c r="I440" t="s">
        <v>984</v>
      </c>
      <c r="J440" t="s">
        <v>1608</v>
      </c>
      <c r="K440" t="s">
        <v>537</v>
      </c>
      <c r="L440" t="str">
        <f>IF(Base_ventas[[#This Row],[Método_pago]]="Efectivo","Efectivo","Electrónico")</f>
        <v>Electrónico</v>
      </c>
      <c r="M440" t="str">
        <f t="shared" si="6"/>
        <v>Venta promedio</v>
      </c>
      <c r="N440" s="22"/>
      <c r="O440" s="22"/>
      <c r="P440" s="22"/>
    </row>
    <row r="441" spans="1:16" x14ac:dyDescent="0.35">
      <c r="A441">
        <v>5992</v>
      </c>
      <c r="B441" t="s">
        <v>504</v>
      </c>
      <c r="C441" s="1">
        <v>45597</v>
      </c>
      <c r="D441" t="s">
        <v>26</v>
      </c>
      <c r="E441" t="s">
        <v>25</v>
      </c>
      <c r="F441" s="6">
        <v>1844533</v>
      </c>
      <c r="G441">
        <v>3</v>
      </c>
      <c r="H441" s="6">
        <v>5533599</v>
      </c>
      <c r="I441" t="s">
        <v>985</v>
      </c>
      <c r="J441" t="s">
        <v>3</v>
      </c>
      <c r="K441" t="s">
        <v>581</v>
      </c>
      <c r="L441" t="str">
        <f>IF(Base_ventas[[#This Row],[Método_pago]]="Efectivo","Efectivo","Electrónico")</f>
        <v>Electrónico</v>
      </c>
      <c r="M441" t="str">
        <f t="shared" si="6"/>
        <v>Best seller</v>
      </c>
      <c r="N441" s="22"/>
      <c r="O441" s="22"/>
      <c r="P441" s="22"/>
    </row>
    <row r="442" spans="1:16" x14ac:dyDescent="0.35">
      <c r="A442">
        <v>3360</v>
      </c>
      <c r="B442" t="s">
        <v>505</v>
      </c>
      <c r="C442" s="1">
        <v>45600</v>
      </c>
      <c r="D442" t="s">
        <v>28</v>
      </c>
      <c r="E442" t="s">
        <v>1</v>
      </c>
      <c r="F442" s="6">
        <v>177881</v>
      </c>
      <c r="G442">
        <v>1</v>
      </c>
      <c r="H442" s="6">
        <v>177881</v>
      </c>
      <c r="I442" t="s">
        <v>986</v>
      </c>
      <c r="J442" t="s">
        <v>4</v>
      </c>
      <c r="K442" t="s">
        <v>533</v>
      </c>
      <c r="L442" t="str">
        <f>IF(Base_ventas[[#This Row],[Método_pago]]="Efectivo","Efectivo","Electrónico")</f>
        <v>Electrónico</v>
      </c>
      <c r="M442" t="str">
        <f t="shared" si="6"/>
        <v>Venta promedio</v>
      </c>
      <c r="N442" s="22"/>
      <c r="O442" s="22"/>
      <c r="P442" s="22"/>
    </row>
    <row r="443" spans="1:16" x14ac:dyDescent="0.35">
      <c r="A443">
        <v>2759</v>
      </c>
      <c r="B443" t="s">
        <v>506</v>
      </c>
      <c r="C443" s="1">
        <v>45603</v>
      </c>
      <c r="D443" t="s">
        <v>22</v>
      </c>
      <c r="E443" t="s">
        <v>23</v>
      </c>
      <c r="F443" s="6">
        <v>741722</v>
      </c>
      <c r="G443">
        <v>2</v>
      </c>
      <c r="H443" s="6">
        <v>1483444</v>
      </c>
      <c r="I443" t="s">
        <v>987</v>
      </c>
      <c r="J443" t="s">
        <v>2</v>
      </c>
      <c r="K443" t="s">
        <v>535</v>
      </c>
      <c r="L443" t="str">
        <f>IF(Base_ventas[[#This Row],[Método_pago]]="Efectivo","Efectivo","Electrónico")</f>
        <v>Efectivo</v>
      </c>
      <c r="M443" t="str">
        <f t="shared" si="6"/>
        <v>Venta promedio</v>
      </c>
      <c r="N443" s="22"/>
      <c r="O443" s="22"/>
      <c r="P443" s="22"/>
    </row>
    <row r="444" spans="1:16" x14ac:dyDescent="0.35">
      <c r="A444">
        <v>4305</v>
      </c>
      <c r="B444" t="s">
        <v>507</v>
      </c>
      <c r="C444" s="1">
        <v>45605</v>
      </c>
      <c r="D444" t="s">
        <v>30</v>
      </c>
      <c r="E444" t="s">
        <v>1</v>
      </c>
      <c r="F444" s="6">
        <v>114971</v>
      </c>
      <c r="G444">
        <v>3</v>
      </c>
      <c r="H444" s="6">
        <v>344913</v>
      </c>
      <c r="I444" t="s">
        <v>988</v>
      </c>
      <c r="J444" t="s">
        <v>4</v>
      </c>
      <c r="K444" t="s">
        <v>581</v>
      </c>
      <c r="L444" t="str">
        <f>IF(Base_ventas[[#This Row],[Método_pago]]="Efectivo","Efectivo","Electrónico")</f>
        <v>Electrónico</v>
      </c>
      <c r="M444" t="str">
        <f t="shared" si="6"/>
        <v>Venta promedio</v>
      </c>
      <c r="N444" s="22"/>
      <c r="O444" s="22"/>
      <c r="P444" s="22"/>
    </row>
    <row r="445" spans="1:16" x14ac:dyDescent="0.35">
      <c r="A445">
        <v>7341</v>
      </c>
      <c r="B445" t="s">
        <v>56</v>
      </c>
      <c r="C445" s="1">
        <v>45606</v>
      </c>
      <c r="D445" t="s">
        <v>26</v>
      </c>
      <c r="E445" t="s">
        <v>25</v>
      </c>
      <c r="F445" s="6">
        <v>1844533</v>
      </c>
      <c r="G445">
        <v>3</v>
      </c>
      <c r="H445" s="6">
        <v>5533599</v>
      </c>
      <c r="I445" t="s">
        <v>989</v>
      </c>
      <c r="J445" t="s">
        <v>3</v>
      </c>
      <c r="K445" t="s">
        <v>561</v>
      </c>
      <c r="L445" t="str">
        <f>IF(Base_ventas[[#This Row],[Método_pago]]="Efectivo","Efectivo","Electrónico")</f>
        <v>Electrónico</v>
      </c>
      <c r="M445" t="str">
        <f t="shared" si="6"/>
        <v>Best seller</v>
      </c>
      <c r="N445" s="22"/>
      <c r="O445" s="22"/>
      <c r="P445" s="22"/>
    </row>
    <row r="446" spans="1:16" x14ac:dyDescent="0.35">
      <c r="A446">
        <v>3765</v>
      </c>
      <c r="B446" t="s">
        <v>158</v>
      </c>
      <c r="C446" s="1">
        <v>45606</v>
      </c>
      <c r="D446" t="s">
        <v>24</v>
      </c>
      <c r="E446" t="s">
        <v>25</v>
      </c>
      <c r="F446" s="6">
        <v>707995</v>
      </c>
      <c r="G446">
        <v>2</v>
      </c>
      <c r="H446" s="6">
        <v>1415990</v>
      </c>
      <c r="I446" t="s">
        <v>990</v>
      </c>
      <c r="J446" t="s">
        <v>4</v>
      </c>
      <c r="K446" t="s">
        <v>543</v>
      </c>
      <c r="L446" t="str">
        <f>IF(Base_ventas[[#This Row],[Método_pago]]="Efectivo","Efectivo","Electrónico")</f>
        <v>Electrónico</v>
      </c>
      <c r="M446" t="str">
        <f t="shared" si="6"/>
        <v>Venta promedio</v>
      </c>
      <c r="N446" s="22"/>
      <c r="O446" s="22"/>
      <c r="P446" s="22"/>
    </row>
    <row r="447" spans="1:16" x14ac:dyDescent="0.35">
      <c r="A447">
        <v>4930</v>
      </c>
      <c r="B447" t="s">
        <v>66</v>
      </c>
      <c r="C447" s="1">
        <v>45606</v>
      </c>
      <c r="D447" t="s">
        <v>26</v>
      </c>
      <c r="E447" t="s">
        <v>25</v>
      </c>
      <c r="F447" s="6">
        <v>1844533</v>
      </c>
      <c r="G447">
        <v>1</v>
      </c>
      <c r="H447" s="6">
        <v>1844533</v>
      </c>
      <c r="I447" t="s">
        <v>991</v>
      </c>
      <c r="J447" t="s">
        <v>3</v>
      </c>
      <c r="K447" t="s">
        <v>545</v>
      </c>
      <c r="L447" t="str">
        <f>IF(Base_ventas[[#This Row],[Método_pago]]="Efectivo","Efectivo","Electrónico")</f>
        <v>Electrónico</v>
      </c>
      <c r="M447" t="str">
        <f t="shared" si="6"/>
        <v>Venta promedio</v>
      </c>
      <c r="N447" s="22"/>
      <c r="O447" s="22"/>
      <c r="P447" s="22"/>
    </row>
    <row r="448" spans="1:16" x14ac:dyDescent="0.35">
      <c r="A448">
        <v>9362</v>
      </c>
      <c r="B448" t="s">
        <v>100</v>
      </c>
      <c r="C448" s="1">
        <v>45606</v>
      </c>
      <c r="D448" t="s">
        <v>30</v>
      </c>
      <c r="E448" t="s">
        <v>1</v>
      </c>
      <c r="F448" s="6">
        <v>114971</v>
      </c>
      <c r="G448">
        <v>3</v>
      </c>
      <c r="H448" s="6">
        <v>344913</v>
      </c>
      <c r="I448" t="s">
        <v>992</v>
      </c>
      <c r="J448" t="s">
        <v>1608</v>
      </c>
      <c r="K448" t="s">
        <v>543</v>
      </c>
      <c r="L448" t="str">
        <f>IF(Base_ventas[[#This Row],[Método_pago]]="Efectivo","Efectivo","Electrónico")</f>
        <v>Electrónico</v>
      </c>
      <c r="M448" t="str">
        <f t="shared" si="6"/>
        <v>Venta promedio</v>
      </c>
      <c r="N448" s="22"/>
      <c r="O448" s="22"/>
      <c r="P448" s="22"/>
    </row>
    <row r="449" spans="1:16" x14ac:dyDescent="0.35">
      <c r="A449">
        <v>7105</v>
      </c>
      <c r="B449" t="s">
        <v>508</v>
      </c>
      <c r="C449" s="1">
        <v>45607</v>
      </c>
      <c r="D449" t="s">
        <v>24</v>
      </c>
      <c r="E449" t="s">
        <v>25</v>
      </c>
      <c r="F449" s="6">
        <v>707995</v>
      </c>
      <c r="G449">
        <v>2</v>
      </c>
      <c r="H449" s="6">
        <v>1415990</v>
      </c>
      <c r="I449" t="s">
        <v>993</v>
      </c>
      <c r="J449" t="s">
        <v>4</v>
      </c>
      <c r="K449" t="s">
        <v>545</v>
      </c>
      <c r="L449" t="str">
        <f>IF(Base_ventas[[#This Row],[Método_pago]]="Efectivo","Efectivo","Electrónico")</f>
        <v>Electrónico</v>
      </c>
      <c r="M449" t="str">
        <f t="shared" si="6"/>
        <v>Venta promedio</v>
      </c>
      <c r="N449" s="22"/>
      <c r="O449" s="22"/>
      <c r="P449" s="22"/>
    </row>
    <row r="450" spans="1:16" x14ac:dyDescent="0.35">
      <c r="A450">
        <v>9635</v>
      </c>
      <c r="B450" t="s">
        <v>240</v>
      </c>
      <c r="C450" s="1">
        <v>45607</v>
      </c>
      <c r="D450" t="s">
        <v>28</v>
      </c>
      <c r="E450" t="s">
        <v>1</v>
      </c>
      <c r="F450" s="6">
        <v>177881</v>
      </c>
      <c r="G450">
        <v>2</v>
      </c>
      <c r="H450" s="6">
        <v>355762</v>
      </c>
      <c r="I450" t="s">
        <v>994</v>
      </c>
      <c r="J450" t="s">
        <v>1608</v>
      </c>
      <c r="K450" t="s">
        <v>579</v>
      </c>
      <c r="L450" t="str">
        <f>IF(Base_ventas[[#This Row],[Método_pago]]="Efectivo","Efectivo","Electrónico")</f>
        <v>Electrónico</v>
      </c>
      <c r="M450" t="str">
        <f t="shared" si="6"/>
        <v>Venta promedio</v>
      </c>
      <c r="N450" s="22"/>
      <c r="O450" s="22"/>
      <c r="P450" s="22"/>
    </row>
    <row r="451" spans="1:16" x14ac:dyDescent="0.35">
      <c r="A451">
        <v>5550</v>
      </c>
      <c r="B451" t="s">
        <v>180</v>
      </c>
      <c r="C451" s="1">
        <v>45608</v>
      </c>
      <c r="D451" t="s">
        <v>28</v>
      </c>
      <c r="E451" t="s">
        <v>1</v>
      </c>
      <c r="F451" s="6">
        <v>177881</v>
      </c>
      <c r="G451">
        <v>2</v>
      </c>
      <c r="H451" s="6">
        <v>355762</v>
      </c>
      <c r="I451" t="s">
        <v>995</v>
      </c>
      <c r="J451" t="s">
        <v>2</v>
      </c>
      <c r="K451" t="s">
        <v>581</v>
      </c>
      <c r="L451" t="str">
        <f>IF(Base_ventas[[#This Row],[Método_pago]]="Efectivo","Efectivo","Electrónico")</f>
        <v>Efectivo</v>
      </c>
      <c r="M451" t="str">
        <f t="shared" si="6"/>
        <v>Venta promedio</v>
      </c>
      <c r="N451" s="22"/>
      <c r="O451" s="22"/>
      <c r="P451" s="22"/>
    </row>
    <row r="452" spans="1:16" x14ac:dyDescent="0.35">
      <c r="A452">
        <v>2341</v>
      </c>
      <c r="B452" t="s">
        <v>72</v>
      </c>
      <c r="C452" s="1">
        <v>45609</v>
      </c>
      <c r="D452" t="s">
        <v>22</v>
      </c>
      <c r="E452" t="s">
        <v>23</v>
      </c>
      <c r="F452" s="6">
        <v>741722</v>
      </c>
      <c r="G452">
        <v>2</v>
      </c>
      <c r="H452" s="6">
        <v>1483444</v>
      </c>
      <c r="I452" t="s">
        <v>996</v>
      </c>
      <c r="J452" t="s">
        <v>2</v>
      </c>
      <c r="K452" t="s">
        <v>541</v>
      </c>
      <c r="L452" t="str">
        <f>IF(Base_ventas[[#This Row],[Método_pago]]="Efectivo","Efectivo","Electrónico")</f>
        <v>Efectivo</v>
      </c>
      <c r="M452" t="str">
        <f t="shared" ref="M452:M503" si="7">IF(AND(G452&gt;2,H452&gt;=1000000),"Best seller","Venta promedio")</f>
        <v>Venta promedio</v>
      </c>
      <c r="N452" s="22"/>
      <c r="O452" s="22"/>
      <c r="P452" s="22"/>
    </row>
    <row r="453" spans="1:16" x14ac:dyDescent="0.35">
      <c r="A453">
        <v>6659</v>
      </c>
      <c r="B453" t="s">
        <v>221</v>
      </c>
      <c r="C453" s="1">
        <v>45609</v>
      </c>
      <c r="D453" t="s">
        <v>28</v>
      </c>
      <c r="E453" t="s">
        <v>1</v>
      </c>
      <c r="F453" s="6">
        <v>177881</v>
      </c>
      <c r="G453">
        <v>1</v>
      </c>
      <c r="H453" s="6">
        <v>177881</v>
      </c>
      <c r="I453" t="s">
        <v>997</v>
      </c>
      <c r="J453" t="s">
        <v>1608</v>
      </c>
      <c r="K453" t="s">
        <v>561</v>
      </c>
      <c r="L453" t="str">
        <f>IF(Base_ventas[[#This Row],[Método_pago]]="Efectivo","Efectivo","Electrónico")</f>
        <v>Electrónico</v>
      </c>
      <c r="M453" t="str">
        <f t="shared" si="7"/>
        <v>Venta promedio</v>
      </c>
      <c r="N453" s="22"/>
      <c r="O453" s="22"/>
      <c r="P453" s="22"/>
    </row>
    <row r="454" spans="1:16" x14ac:dyDescent="0.35">
      <c r="A454">
        <v>4465</v>
      </c>
      <c r="B454" t="s">
        <v>76</v>
      </c>
      <c r="C454" s="1">
        <v>45610</v>
      </c>
      <c r="D454" t="s">
        <v>26</v>
      </c>
      <c r="E454" t="s">
        <v>25</v>
      </c>
      <c r="F454" s="6">
        <v>1844533</v>
      </c>
      <c r="G454">
        <v>2</v>
      </c>
      <c r="H454" s="6">
        <v>3689066</v>
      </c>
      <c r="I454" t="s">
        <v>998</v>
      </c>
      <c r="J454" t="s">
        <v>3</v>
      </c>
      <c r="K454" t="s">
        <v>579</v>
      </c>
      <c r="L454" t="str">
        <f>IF(Base_ventas[[#This Row],[Método_pago]]="Efectivo","Efectivo","Electrónico")</f>
        <v>Electrónico</v>
      </c>
      <c r="M454" t="str">
        <f t="shared" si="7"/>
        <v>Venta promedio</v>
      </c>
      <c r="N454" s="22"/>
      <c r="O454" s="22"/>
      <c r="P454" s="22"/>
    </row>
    <row r="455" spans="1:16" x14ac:dyDescent="0.35">
      <c r="A455">
        <v>4002</v>
      </c>
      <c r="B455" t="s">
        <v>197</v>
      </c>
      <c r="C455" s="1">
        <v>45611</v>
      </c>
      <c r="D455" t="s">
        <v>30</v>
      </c>
      <c r="E455" t="s">
        <v>1</v>
      </c>
      <c r="F455" s="6">
        <v>114971</v>
      </c>
      <c r="G455">
        <v>1</v>
      </c>
      <c r="H455" s="6">
        <v>114971</v>
      </c>
      <c r="I455" t="s">
        <v>999</v>
      </c>
      <c r="J455" t="s">
        <v>3</v>
      </c>
      <c r="K455" t="s">
        <v>533</v>
      </c>
      <c r="L455" t="str">
        <f>IF(Base_ventas[[#This Row],[Método_pago]]="Efectivo","Efectivo","Electrónico")</f>
        <v>Electrónico</v>
      </c>
      <c r="M455" t="str">
        <f t="shared" si="7"/>
        <v>Venta promedio</v>
      </c>
      <c r="N455" s="22"/>
      <c r="O455" s="22"/>
      <c r="P455" s="22"/>
    </row>
    <row r="456" spans="1:16" x14ac:dyDescent="0.35">
      <c r="A456">
        <v>3968</v>
      </c>
      <c r="B456" t="s">
        <v>274</v>
      </c>
      <c r="C456" s="1">
        <v>45613</v>
      </c>
      <c r="D456" t="s">
        <v>22</v>
      </c>
      <c r="E456" t="s">
        <v>23</v>
      </c>
      <c r="F456" s="6">
        <v>741722</v>
      </c>
      <c r="G456">
        <v>2</v>
      </c>
      <c r="H456" s="6">
        <v>1483444</v>
      </c>
      <c r="I456" t="s">
        <v>1000</v>
      </c>
      <c r="J456" t="s">
        <v>1608</v>
      </c>
      <c r="K456" t="s">
        <v>539</v>
      </c>
      <c r="L456" t="str">
        <f>IF(Base_ventas[[#This Row],[Método_pago]]="Efectivo","Efectivo","Electrónico")</f>
        <v>Electrónico</v>
      </c>
      <c r="M456" t="str">
        <f t="shared" si="7"/>
        <v>Venta promedio</v>
      </c>
      <c r="N456" s="22"/>
      <c r="O456" s="22"/>
      <c r="P456" s="22"/>
    </row>
    <row r="457" spans="1:16" x14ac:dyDescent="0.35">
      <c r="A457">
        <v>3164</v>
      </c>
      <c r="B457" t="s">
        <v>268</v>
      </c>
      <c r="C457" s="1">
        <v>45615</v>
      </c>
      <c r="D457" t="s">
        <v>22</v>
      </c>
      <c r="E457" t="s">
        <v>23</v>
      </c>
      <c r="F457" s="6">
        <v>741722</v>
      </c>
      <c r="G457">
        <v>2</v>
      </c>
      <c r="H457" s="6">
        <v>1483444</v>
      </c>
      <c r="I457" t="s">
        <v>1001</v>
      </c>
      <c r="J457" t="s">
        <v>1608</v>
      </c>
      <c r="K457" t="s">
        <v>577</v>
      </c>
      <c r="L457" t="str">
        <f>IF(Base_ventas[[#This Row],[Método_pago]]="Efectivo","Efectivo","Electrónico")</f>
        <v>Electrónico</v>
      </c>
      <c r="M457" t="str">
        <f t="shared" si="7"/>
        <v>Venta promedio</v>
      </c>
      <c r="N457" s="22"/>
      <c r="O457" s="22"/>
      <c r="P457" s="22"/>
    </row>
    <row r="458" spans="1:16" x14ac:dyDescent="0.35">
      <c r="A458">
        <v>3632</v>
      </c>
      <c r="B458" t="s">
        <v>83</v>
      </c>
      <c r="C458" s="1">
        <v>45616</v>
      </c>
      <c r="D458" t="s">
        <v>22</v>
      </c>
      <c r="E458" t="s">
        <v>23</v>
      </c>
      <c r="F458" s="6">
        <v>741722</v>
      </c>
      <c r="G458">
        <v>3</v>
      </c>
      <c r="H458" s="6">
        <v>2225166</v>
      </c>
      <c r="I458" t="s">
        <v>1002</v>
      </c>
      <c r="J458" t="s">
        <v>2</v>
      </c>
      <c r="K458" t="s">
        <v>571</v>
      </c>
      <c r="L458" t="str">
        <f>IF(Base_ventas[[#This Row],[Método_pago]]="Efectivo","Efectivo","Electrónico")</f>
        <v>Efectivo</v>
      </c>
      <c r="M458" t="str">
        <f t="shared" si="7"/>
        <v>Best seller</v>
      </c>
      <c r="N458" s="22"/>
      <c r="O458" s="22"/>
      <c r="P458" s="22"/>
    </row>
    <row r="459" spans="1:16" x14ac:dyDescent="0.35">
      <c r="A459">
        <v>7411</v>
      </c>
      <c r="B459" t="s">
        <v>509</v>
      </c>
      <c r="C459" s="1">
        <v>45617</v>
      </c>
      <c r="D459" t="s">
        <v>24</v>
      </c>
      <c r="E459" t="s">
        <v>25</v>
      </c>
      <c r="F459" s="6">
        <v>707995</v>
      </c>
      <c r="G459">
        <v>2</v>
      </c>
      <c r="H459" s="6">
        <v>1415990</v>
      </c>
      <c r="I459" t="s">
        <v>1003</v>
      </c>
      <c r="J459" t="s">
        <v>3</v>
      </c>
      <c r="K459" t="s">
        <v>577</v>
      </c>
      <c r="L459" t="str">
        <f>IF(Base_ventas[[#This Row],[Método_pago]]="Efectivo","Efectivo","Electrónico")</f>
        <v>Electrónico</v>
      </c>
      <c r="M459" t="str">
        <f t="shared" si="7"/>
        <v>Venta promedio</v>
      </c>
      <c r="N459" s="22"/>
      <c r="O459" s="22"/>
      <c r="P459" s="22"/>
    </row>
    <row r="460" spans="1:16" x14ac:dyDescent="0.35">
      <c r="A460">
        <v>8153</v>
      </c>
      <c r="B460" t="s">
        <v>510</v>
      </c>
      <c r="C460" s="1">
        <v>45617</v>
      </c>
      <c r="D460" t="s">
        <v>24</v>
      </c>
      <c r="E460" t="s">
        <v>25</v>
      </c>
      <c r="F460" s="6">
        <v>707995</v>
      </c>
      <c r="G460">
        <v>2</v>
      </c>
      <c r="H460" s="6">
        <v>1415990</v>
      </c>
      <c r="I460" t="s">
        <v>1004</v>
      </c>
      <c r="J460" t="s">
        <v>2</v>
      </c>
      <c r="K460" t="s">
        <v>535</v>
      </c>
      <c r="L460" t="str">
        <f>IF(Base_ventas[[#This Row],[Método_pago]]="Efectivo","Efectivo","Electrónico")</f>
        <v>Efectivo</v>
      </c>
      <c r="M460" t="str">
        <f t="shared" si="7"/>
        <v>Venta promedio</v>
      </c>
      <c r="N460" s="22"/>
      <c r="O460" s="22"/>
      <c r="P460" s="22"/>
    </row>
    <row r="461" spans="1:16" x14ac:dyDescent="0.35">
      <c r="A461">
        <v>8053</v>
      </c>
      <c r="B461" t="s">
        <v>511</v>
      </c>
      <c r="C461" s="1">
        <v>45618</v>
      </c>
      <c r="D461" t="s">
        <v>24</v>
      </c>
      <c r="E461" t="s">
        <v>25</v>
      </c>
      <c r="F461" s="6">
        <v>707995</v>
      </c>
      <c r="G461">
        <v>1</v>
      </c>
      <c r="H461" s="6">
        <v>707995</v>
      </c>
      <c r="I461" t="s">
        <v>1005</v>
      </c>
      <c r="J461" t="s">
        <v>1608</v>
      </c>
      <c r="K461" t="s">
        <v>537</v>
      </c>
      <c r="L461" t="str">
        <f>IF(Base_ventas[[#This Row],[Método_pago]]="Efectivo","Efectivo","Electrónico")</f>
        <v>Electrónico</v>
      </c>
      <c r="M461" s="16" t="str">
        <f t="shared" si="7"/>
        <v>Venta promedio</v>
      </c>
      <c r="N461" s="22"/>
      <c r="O461" s="22"/>
      <c r="P461" s="22"/>
    </row>
    <row r="462" spans="1:16" x14ac:dyDescent="0.35">
      <c r="A462">
        <v>4470</v>
      </c>
      <c r="B462" t="s">
        <v>512</v>
      </c>
      <c r="C462" s="1">
        <v>45619</v>
      </c>
      <c r="D462" t="s">
        <v>24</v>
      </c>
      <c r="E462" t="s">
        <v>25</v>
      </c>
      <c r="F462" s="6">
        <v>707995</v>
      </c>
      <c r="G462">
        <v>3</v>
      </c>
      <c r="H462" s="6">
        <v>2123985</v>
      </c>
      <c r="I462" t="s">
        <v>1006</v>
      </c>
      <c r="J462" t="s">
        <v>1608</v>
      </c>
      <c r="K462" t="s">
        <v>547</v>
      </c>
      <c r="L462" t="str">
        <f>IF(Base_ventas[[#This Row],[Método_pago]]="Efectivo","Efectivo","Electrónico")</f>
        <v>Electrónico</v>
      </c>
      <c r="M462" t="str">
        <f t="shared" si="7"/>
        <v>Best seller</v>
      </c>
      <c r="N462" s="22"/>
      <c r="O462" s="22"/>
      <c r="P462" s="22"/>
    </row>
    <row r="463" spans="1:16" x14ac:dyDescent="0.35">
      <c r="A463">
        <v>4967</v>
      </c>
      <c r="B463" t="s">
        <v>89</v>
      </c>
      <c r="C463" s="1">
        <v>45619</v>
      </c>
      <c r="D463" t="s">
        <v>24</v>
      </c>
      <c r="E463" t="s">
        <v>25</v>
      </c>
      <c r="F463" s="6">
        <v>707995</v>
      </c>
      <c r="G463">
        <v>2</v>
      </c>
      <c r="H463" s="6">
        <v>1415990</v>
      </c>
      <c r="I463" t="s">
        <v>1007</v>
      </c>
      <c r="J463" t="s">
        <v>1608</v>
      </c>
      <c r="K463" t="s">
        <v>561</v>
      </c>
      <c r="L463" t="str">
        <f>IF(Base_ventas[[#This Row],[Método_pago]]="Efectivo","Efectivo","Electrónico")</f>
        <v>Electrónico</v>
      </c>
      <c r="M463" t="str">
        <f t="shared" si="7"/>
        <v>Venta promedio</v>
      </c>
      <c r="N463" s="22"/>
      <c r="O463" s="22"/>
      <c r="P463" s="22"/>
    </row>
    <row r="464" spans="1:16" x14ac:dyDescent="0.35">
      <c r="A464">
        <v>7985</v>
      </c>
      <c r="B464" t="s">
        <v>92</v>
      </c>
      <c r="C464" s="1">
        <v>45619</v>
      </c>
      <c r="D464" t="s">
        <v>26</v>
      </c>
      <c r="E464" t="s">
        <v>25</v>
      </c>
      <c r="F464" s="6">
        <v>1844533</v>
      </c>
      <c r="G464">
        <v>3</v>
      </c>
      <c r="H464" s="6">
        <v>5533599</v>
      </c>
      <c r="I464" t="s">
        <v>1008</v>
      </c>
      <c r="J464" t="s">
        <v>3</v>
      </c>
      <c r="K464" t="s">
        <v>539</v>
      </c>
      <c r="L464" t="str">
        <f>IF(Base_ventas[[#This Row],[Método_pago]]="Efectivo","Efectivo","Electrónico")</f>
        <v>Electrónico</v>
      </c>
      <c r="M464" t="str">
        <f t="shared" si="7"/>
        <v>Best seller</v>
      </c>
      <c r="N464" s="22"/>
      <c r="O464" s="22"/>
      <c r="P464" s="22"/>
    </row>
    <row r="465" spans="1:16" x14ac:dyDescent="0.35">
      <c r="A465">
        <v>5367</v>
      </c>
      <c r="B465" t="s">
        <v>98</v>
      </c>
      <c r="C465" s="1">
        <v>45621</v>
      </c>
      <c r="D465" t="s">
        <v>24</v>
      </c>
      <c r="E465" t="s">
        <v>25</v>
      </c>
      <c r="F465" s="6">
        <v>707995</v>
      </c>
      <c r="G465">
        <v>3</v>
      </c>
      <c r="H465" s="6">
        <v>2123985</v>
      </c>
      <c r="I465" t="s">
        <v>1009</v>
      </c>
      <c r="J465" t="s">
        <v>2</v>
      </c>
      <c r="K465" t="s">
        <v>535</v>
      </c>
      <c r="L465" t="str">
        <f>IF(Base_ventas[[#This Row],[Método_pago]]="Efectivo","Efectivo","Electrónico")</f>
        <v>Efectivo</v>
      </c>
      <c r="M465" t="str">
        <f t="shared" si="7"/>
        <v>Best seller</v>
      </c>
      <c r="N465" s="22"/>
      <c r="O465" s="22"/>
      <c r="P465" s="22"/>
    </row>
    <row r="466" spans="1:16" x14ac:dyDescent="0.35">
      <c r="A466">
        <v>3152</v>
      </c>
      <c r="B466" t="s">
        <v>167</v>
      </c>
      <c r="C466" s="1">
        <v>45622</v>
      </c>
      <c r="D466" t="s">
        <v>22</v>
      </c>
      <c r="E466" t="s">
        <v>23</v>
      </c>
      <c r="F466" s="6">
        <v>741722</v>
      </c>
      <c r="G466">
        <v>2</v>
      </c>
      <c r="H466" s="6">
        <v>1483444</v>
      </c>
      <c r="I466" t="s">
        <v>1010</v>
      </c>
      <c r="J466" t="s">
        <v>4</v>
      </c>
      <c r="K466" t="s">
        <v>545</v>
      </c>
      <c r="L466" t="str">
        <f>IF(Base_ventas[[#This Row],[Método_pago]]="Efectivo","Efectivo","Electrónico")</f>
        <v>Electrónico</v>
      </c>
      <c r="M466" t="str">
        <f t="shared" si="7"/>
        <v>Venta promedio</v>
      </c>
      <c r="N466" s="22"/>
      <c r="O466" s="22"/>
      <c r="P466" s="22"/>
    </row>
    <row r="467" spans="1:16" x14ac:dyDescent="0.35">
      <c r="A467">
        <v>1948</v>
      </c>
      <c r="B467" t="s">
        <v>99</v>
      </c>
      <c r="C467" s="1">
        <v>45623</v>
      </c>
      <c r="D467" t="s">
        <v>30</v>
      </c>
      <c r="E467" t="s">
        <v>1</v>
      </c>
      <c r="F467" s="6">
        <v>114971</v>
      </c>
      <c r="G467">
        <v>1</v>
      </c>
      <c r="H467" s="6">
        <v>114971</v>
      </c>
      <c r="I467" t="s">
        <v>1011</v>
      </c>
      <c r="J467" t="s">
        <v>3</v>
      </c>
      <c r="K467" t="s">
        <v>561</v>
      </c>
      <c r="L467" t="str">
        <f>IF(Base_ventas[[#This Row],[Método_pago]]="Efectivo","Efectivo","Electrónico")</f>
        <v>Electrónico</v>
      </c>
      <c r="M467" t="str">
        <f t="shared" si="7"/>
        <v>Venta promedio</v>
      </c>
      <c r="N467" s="22"/>
      <c r="O467" s="22"/>
      <c r="P467" s="22"/>
    </row>
    <row r="468" spans="1:16" x14ac:dyDescent="0.35">
      <c r="A468">
        <v>5947</v>
      </c>
      <c r="B468" t="s">
        <v>230</v>
      </c>
      <c r="C468" s="1">
        <v>45624</v>
      </c>
      <c r="D468" t="s">
        <v>26</v>
      </c>
      <c r="E468" t="s">
        <v>25</v>
      </c>
      <c r="F468" s="6">
        <v>1844533</v>
      </c>
      <c r="G468">
        <v>2</v>
      </c>
      <c r="H468" s="6">
        <v>3689066</v>
      </c>
      <c r="I468" t="s">
        <v>1012</v>
      </c>
      <c r="J468" t="s">
        <v>1608</v>
      </c>
      <c r="K468" t="s">
        <v>581</v>
      </c>
      <c r="L468" t="str">
        <f>IF(Base_ventas[[#This Row],[Método_pago]]="Efectivo","Efectivo","Electrónico")</f>
        <v>Electrónico</v>
      </c>
      <c r="M468" t="str">
        <f t="shared" si="7"/>
        <v>Venta promedio</v>
      </c>
      <c r="N468" s="22"/>
      <c r="O468" s="22"/>
      <c r="P468" s="22"/>
    </row>
    <row r="469" spans="1:16" x14ac:dyDescent="0.35">
      <c r="A469">
        <v>1812</v>
      </c>
      <c r="B469" t="s">
        <v>248</v>
      </c>
      <c r="C469" s="1">
        <v>45624</v>
      </c>
      <c r="D469" t="s">
        <v>22</v>
      </c>
      <c r="E469" t="s">
        <v>23</v>
      </c>
      <c r="F469" s="6">
        <v>741722</v>
      </c>
      <c r="G469">
        <v>1</v>
      </c>
      <c r="H469" s="6">
        <v>741722</v>
      </c>
      <c r="I469" t="s">
        <v>1013</v>
      </c>
      <c r="J469" t="s">
        <v>3</v>
      </c>
      <c r="K469" t="s">
        <v>535</v>
      </c>
      <c r="L469" t="str">
        <f>IF(Base_ventas[[#This Row],[Método_pago]]="Efectivo","Efectivo","Electrónico")</f>
        <v>Electrónico</v>
      </c>
      <c r="M469" t="str">
        <f t="shared" si="7"/>
        <v>Venta promedio</v>
      </c>
      <c r="N469" s="22"/>
      <c r="O469" s="22"/>
      <c r="P469" s="22"/>
    </row>
    <row r="470" spans="1:16" x14ac:dyDescent="0.35">
      <c r="A470">
        <v>7426</v>
      </c>
      <c r="B470" t="s">
        <v>513</v>
      </c>
      <c r="C470" s="1">
        <v>45624</v>
      </c>
      <c r="D470" t="s">
        <v>28</v>
      </c>
      <c r="E470" t="s">
        <v>1</v>
      </c>
      <c r="F470" s="6">
        <v>177881</v>
      </c>
      <c r="G470">
        <v>3</v>
      </c>
      <c r="H470" s="6">
        <v>533643</v>
      </c>
      <c r="I470" t="s">
        <v>1014</v>
      </c>
      <c r="J470" t="s">
        <v>3</v>
      </c>
      <c r="K470" t="s">
        <v>602</v>
      </c>
      <c r="L470" t="str">
        <f>IF(Base_ventas[[#This Row],[Método_pago]]="Efectivo","Efectivo","Electrónico")</f>
        <v>Electrónico</v>
      </c>
      <c r="M470" t="str">
        <f t="shared" si="7"/>
        <v>Venta promedio</v>
      </c>
      <c r="N470" s="22"/>
      <c r="O470" s="22"/>
      <c r="P470" s="22"/>
    </row>
    <row r="471" spans="1:16" x14ac:dyDescent="0.35">
      <c r="A471">
        <v>9385</v>
      </c>
      <c r="B471" t="s">
        <v>514</v>
      </c>
      <c r="C471" s="1">
        <v>45625</v>
      </c>
      <c r="D471" t="s">
        <v>28</v>
      </c>
      <c r="E471" t="s">
        <v>1</v>
      </c>
      <c r="F471" s="6">
        <v>177881</v>
      </c>
      <c r="G471">
        <v>3</v>
      </c>
      <c r="H471" s="6">
        <v>533643</v>
      </c>
      <c r="I471" t="s">
        <v>1015</v>
      </c>
      <c r="J471" t="s">
        <v>4</v>
      </c>
      <c r="K471" t="s">
        <v>537</v>
      </c>
      <c r="L471" t="str">
        <f>IF(Base_ventas[[#This Row],[Método_pago]]="Efectivo","Efectivo","Electrónico")</f>
        <v>Electrónico</v>
      </c>
      <c r="M471" t="str">
        <f t="shared" si="7"/>
        <v>Venta promedio</v>
      </c>
      <c r="N471" s="22"/>
      <c r="O471" s="22"/>
      <c r="P471" s="22"/>
    </row>
    <row r="472" spans="1:16" x14ac:dyDescent="0.35">
      <c r="A472">
        <v>9670</v>
      </c>
      <c r="B472" t="s">
        <v>515</v>
      </c>
      <c r="C472" s="1">
        <v>45626</v>
      </c>
      <c r="D472" t="s">
        <v>26</v>
      </c>
      <c r="E472" t="s">
        <v>25</v>
      </c>
      <c r="F472" s="6">
        <v>1844533</v>
      </c>
      <c r="G472">
        <v>2</v>
      </c>
      <c r="H472" s="6">
        <v>3689066</v>
      </c>
      <c r="I472" t="s">
        <v>1016</v>
      </c>
      <c r="J472" t="s">
        <v>3</v>
      </c>
      <c r="K472" t="s">
        <v>622</v>
      </c>
      <c r="L472" t="str">
        <f>IF(Base_ventas[[#This Row],[Método_pago]]="Efectivo","Efectivo","Electrónico")</f>
        <v>Electrónico</v>
      </c>
      <c r="M472" t="str">
        <f t="shared" si="7"/>
        <v>Venta promedio</v>
      </c>
      <c r="N472" s="22"/>
      <c r="O472" s="22"/>
      <c r="P472" s="22"/>
    </row>
    <row r="473" spans="1:16" x14ac:dyDescent="0.35">
      <c r="A473">
        <v>7210</v>
      </c>
      <c r="B473" t="s">
        <v>516</v>
      </c>
      <c r="C473" s="1">
        <v>45626</v>
      </c>
      <c r="D473" t="s">
        <v>24</v>
      </c>
      <c r="E473" t="s">
        <v>25</v>
      </c>
      <c r="F473" s="6">
        <v>707995</v>
      </c>
      <c r="G473">
        <v>2</v>
      </c>
      <c r="H473" s="6">
        <v>1415990</v>
      </c>
      <c r="I473" t="s">
        <v>1017</v>
      </c>
      <c r="J473" t="s">
        <v>4</v>
      </c>
      <c r="K473" t="s">
        <v>581</v>
      </c>
      <c r="L473" t="str">
        <f>IF(Base_ventas[[#This Row],[Método_pago]]="Efectivo","Efectivo","Electrónico")</f>
        <v>Electrónico</v>
      </c>
      <c r="M473" t="str">
        <f t="shared" si="7"/>
        <v>Venta promedio</v>
      </c>
      <c r="N473" s="22"/>
      <c r="O473" s="22"/>
      <c r="P473" s="22"/>
    </row>
    <row r="474" spans="1:16" x14ac:dyDescent="0.35">
      <c r="A474">
        <v>2929</v>
      </c>
      <c r="B474" t="s">
        <v>517</v>
      </c>
      <c r="C474" s="1">
        <v>45626</v>
      </c>
      <c r="D474" t="s">
        <v>22</v>
      </c>
      <c r="E474" t="s">
        <v>23</v>
      </c>
      <c r="F474" s="6">
        <v>741722</v>
      </c>
      <c r="G474">
        <v>1</v>
      </c>
      <c r="H474" s="6">
        <v>741722</v>
      </c>
      <c r="I474" t="s">
        <v>1018</v>
      </c>
      <c r="J474" t="s">
        <v>2</v>
      </c>
      <c r="K474" t="s">
        <v>622</v>
      </c>
      <c r="L474" t="str">
        <f>IF(Base_ventas[[#This Row],[Método_pago]]="Efectivo","Efectivo","Electrónico")</f>
        <v>Efectivo</v>
      </c>
      <c r="M474" t="str">
        <f t="shared" si="7"/>
        <v>Venta promedio</v>
      </c>
      <c r="N474" s="22"/>
      <c r="O474" s="22"/>
      <c r="P474" s="22"/>
    </row>
    <row r="475" spans="1:16" x14ac:dyDescent="0.35">
      <c r="A475">
        <v>7369</v>
      </c>
      <c r="B475" t="s">
        <v>518</v>
      </c>
      <c r="C475" s="1">
        <v>45628</v>
      </c>
      <c r="D475" t="s">
        <v>24</v>
      </c>
      <c r="E475" t="s">
        <v>25</v>
      </c>
      <c r="F475" s="6">
        <v>707995</v>
      </c>
      <c r="G475">
        <v>2</v>
      </c>
      <c r="H475" s="6">
        <v>1415990</v>
      </c>
      <c r="I475" t="s">
        <v>1019</v>
      </c>
      <c r="J475" t="s">
        <v>3</v>
      </c>
      <c r="K475" t="s">
        <v>579</v>
      </c>
      <c r="L475" t="str">
        <f>IF(Base_ventas[[#This Row],[Método_pago]]="Efectivo","Efectivo","Electrónico")</f>
        <v>Electrónico</v>
      </c>
      <c r="M475" t="str">
        <f t="shared" si="7"/>
        <v>Venta promedio</v>
      </c>
      <c r="N475" s="22"/>
      <c r="O475" s="22"/>
      <c r="P475" s="22"/>
    </row>
    <row r="476" spans="1:16" x14ac:dyDescent="0.35">
      <c r="A476">
        <v>2732</v>
      </c>
      <c r="B476" t="s">
        <v>47</v>
      </c>
      <c r="C476" s="1">
        <v>45629</v>
      </c>
      <c r="D476" t="s">
        <v>26</v>
      </c>
      <c r="E476" t="s">
        <v>25</v>
      </c>
      <c r="F476" s="6">
        <v>1844533</v>
      </c>
      <c r="G476">
        <v>2</v>
      </c>
      <c r="H476" s="6">
        <v>3689066</v>
      </c>
      <c r="I476" t="s">
        <v>1020</v>
      </c>
      <c r="J476" t="s">
        <v>4</v>
      </c>
      <c r="K476" t="s">
        <v>535</v>
      </c>
      <c r="L476" t="str">
        <f>IF(Base_ventas[[#This Row],[Método_pago]]="Efectivo","Efectivo","Electrónico")</f>
        <v>Electrónico</v>
      </c>
      <c r="M476" t="str">
        <f t="shared" si="7"/>
        <v>Venta promedio</v>
      </c>
      <c r="N476" s="22"/>
      <c r="O476" s="22"/>
      <c r="P476" s="22"/>
    </row>
    <row r="477" spans="1:16" x14ac:dyDescent="0.35">
      <c r="A477">
        <v>9578</v>
      </c>
      <c r="B477" t="s">
        <v>145</v>
      </c>
      <c r="C477" s="1">
        <v>45630</v>
      </c>
      <c r="D477" t="s">
        <v>26</v>
      </c>
      <c r="E477" t="s">
        <v>25</v>
      </c>
      <c r="F477" s="6">
        <v>1844533</v>
      </c>
      <c r="G477">
        <v>1</v>
      </c>
      <c r="H477" s="6">
        <v>1844533</v>
      </c>
      <c r="I477" t="s">
        <v>1021</v>
      </c>
      <c r="J477" t="s">
        <v>2</v>
      </c>
      <c r="K477" t="s">
        <v>622</v>
      </c>
      <c r="L477" t="str">
        <f>IF(Base_ventas[[#This Row],[Método_pago]]="Efectivo","Efectivo","Electrónico")</f>
        <v>Efectivo</v>
      </c>
      <c r="M477" t="str">
        <f t="shared" si="7"/>
        <v>Venta promedio</v>
      </c>
      <c r="N477" s="22"/>
      <c r="O477" s="22"/>
      <c r="P477" s="22"/>
    </row>
    <row r="478" spans="1:16" x14ac:dyDescent="0.35">
      <c r="A478">
        <v>7658</v>
      </c>
      <c r="B478" t="s">
        <v>184</v>
      </c>
      <c r="C478" s="1">
        <v>45631</v>
      </c>
      <c r="D478" t="s">
        <v>22</v>
      </c>
      <c r="E478" t="s">
        <v>23</v>
      </c>
      <c r="F478" s="6">
        <v>741722</v>
      </c>
      <c r="G478">
        <v>3</v>
      </c>
      <c r="H478" s="6">
        <v>2225166</v>
      </c>
      <c r="I478" t="s">
        <v>1022</v>
      </c>
      <c r="J478" t="s">
        <v>3</v>
      </c>
      <c r="K478" t="s">
        <v>539</v>
      </c>
      <c r="L478" t="str">
        <f>IF(Base_ventas[[#This Row],[Método_pago]]="Efectivo","Efectivo","Electrónico")</f>
        <v>Electrónico</v>
      </c>
      <c r="M478" t="str">
        <f t="shared" si="7"/>
        <v>Best seller</v>
      </c>
      <c r="N478" s="22"/>
      <c r="O478" s="22"/>
      <c r="P478" s="22"/>
    </row>
    <row r="479" spans="1:16" x14ac:dyDescent="0.35">
      <c r="A479">
        <v>9482</v>
      </c>
      <c r="B479" t="s">
        <v>519</v>
      </c>
      <c r="C479" s="1">
        <v>45631</v>
      </c>
      <c r="D479" t="s">
        <v>22</v>
      </c>
      <c r="E479" t="s">
        <v>23</v>
      </c>
      <c r="F479" s="6">
        <v>741722</v>
      </c>
      <c r="G479">
        <v>1</v>
      </c>
      <c r="H479" s="6">
        <v>741722</v>
      </c>
      <c r="I479" t="s">
        <v>1023</v>
      </c>
      <c r="J479" t="s">
        <v>3</v>
      </c>
      <c r="K479" t="s">
        <v>539</v>
      </c>
      <c r="L479" t="str">
        <f>IF(Base_ventas[[#This Row],[Método_pago]]="Efectivo","Efectivo","Electrónico")</f>
        <v>Electrónico</v>
      </c>
      <c r="M479" t="str">
        <f t="shared" si="7"/>
        <v>Venta promedio</v>
      </c>
      <c r="N479" s="22"/>
      <c r="O479" s="22"/>
      <c r="P479" s="22"/>
    </row>
    <row r="480" spans="1:16" x14ac:dyDescent="0.35">
      <c r="A480">
        <v>4256</v>
      </c>
      <c r="B480" t="s">
        <v>45</v>
      </c>
      <c r="C480" s="1">
        <v>45632</v>
      </c>
      <c r="D480" t="s">
        <v>24</v>
      </c>
      <c r="E480" t="s">
        <v>25</v>
      </c>
      <c r="F480" s="6">
        <v>707995</v>
      </c>
      <c r="G480">
        <v>2</v>
      </c>
      <c r="H480" s="6">
        <v>1415990</v>
      </c>
      <c r="I480" t="s">
        <v>1024</v>
      </c>
      <c r="J480" t="s">
        <v>3</v>
      </c>
      <c r="K480" t="s">
        <v>622</v>
      </c>
      <c r="L480" t="str">
        <f>IF(Base_ventas[[#This Row],[Método_pago]]="Efectivo","Efectivo","Electrónico")</f>
        <v>Electrónico</v>
      </c>
      <c r="M480" t="str">
        <f t="shared" si="7"/>
        <v>Venta promedio</v>
      </c>
      <c r="N480" s="22"/>
      <c r="O480" s="22"/>
      <c r="P480" s="22"/>
    </row>
    <row r="481" spans="1:16" x14ac:dyDescent="0.35">
      <c r="A481">
        <v>3580</v>
      </c>
      <c r="B481" t="s">
        <v>75</v>
      </c>
      <c r="C481" s="1">
        <v>45634</v>
      </c>
      <c r="D481" t="s">
        <v>26</v>
      </c>
      <c r="E481" t="s">
        <v>25</v>
      </c>
      <c r="F481" s="6">
        <v>1844533</v>
      </c>
      <c r="G481">
        <v>3</v>
      </c>
      <c r="H481" s="6">
        <v>5533599</v>
      </c>
      <c r="I481" t="s">
        <v>1025</v>
      </c>
      <c r="J481" t="s">
        <v>3</v>
      </c>
      <c r="K481" t="s">
        <v>539</v>
      </c>
      <c r="L481" t="str">
        <f>IF(Base_ventas[[#This Row],[Método_pago]]="Efectivo","Efectivo","Electrónico")</f>
        <v>Electrónico</v>
      </c>
      <c r="M481" t="str">
        <f t="shared" si="7"/>
        <v>Best seller</v>
      </c>
      <c r="N481" s="22"/>
      <c r="O481" s="22"/>
      <c r="P481" s="22"/>
    </row>
    <row r="482" spans="1:16" x14ac:dyDescent="0.35">
      <c r="A482">
        <v>5371</v>
      </c>
      <c r="B482" t="s">
        <v>179</v>
      </c>
      <c r="C482" s="1">
        <v>45634</v>
      </c>
      <c r="D482" t="s">
        <v>30</v>
      </c>
      <c r="E482" t="s">
        <v>1</v>
      </c>
      <c r="F482" s="6">
        <v>114971</v>
      </c>
      <c r="G482">
        <v>1</v>
      </c>
      <c r="H482" s="6">
        <v>114971</v>
      </c>
      <c r="I482" t="s">
        <v>1026</v>
      </c>
      <c r="J482" t="s">
        <v>1608</v>
      </c>
      <c r="K482" t="s">
        <v>561</v>
      </c>
      <c r="L482" t="str">
        <f>IF(Base_ventas[[#This Row],[Método_pago]]="Efectivo","Efectivo","Electrónico")</f>
        <v>Electrónico</v>
      </c>
      <c r="M482" t="str">
        <f t="shared" si="7"/>
        <v>Venta promedio</v>
      </c>
      <c r="N482" s="22"/>
      <c r="O482" s="22"/>
      <c r="P482" s="22"/>
    </row>
    <row r="483" spans="1:16" x14ac:dyDescent="0.35">
      <c r="A483">
        <v>1407</v>
      </c>
      <c r="B483" t="s">
        <v>35</v>
      </c>
      <c r="C483" s="1">
        <v>45635</v>
      </c>
      <c r="D483" t="s">
        <v>22</v>
      </c>
      <c r="E483" t="s">
        <v>23</v>
      </c>
      <c r="F483" s="6">
        <v>741722</v>
      </c>
      <c r="G483">
        <v>3</v>
      </c>
      <c r="H483" s="6">
        <v>2225166</v>
      </c>
      <c r="I483" t="s">
        <v>1027</v>
      </c>
      <c r="J483" t="s">
        <v>4</v>
      </c>
      <c r="K483" t="s">
        <v>577</v>
      </c>
      <c r="L483" t="str">
        <f>IF(Base_ventas[[#This Row],[Método_pago]]="Efectivo","Efectivo","Electrónico")</f>
        <v>Electrónico</v>
      </c>
      <c r="M483" t="str">
        <f t="shared" si="7"/>
        <v>Best seller</v>
      </c>
      <c r="N483" s="22"/>
      <c r="O483" s="22"/>
      <c r="P483" s="22"/>
    </row>
    <row r="484" spans="1:16" x14ac:dyDescent="0.35">
      <c r="A484">
        <v>8252</v>
      </c>
      <c r="B484" t="s">
        <v>84</v>
      </c>
      <c r="C484" s="1">
        <v>45636</v>
      </c>
      <c r="D484" t="s">
        <v>28</v>
      </c>
      <c r="E484" t="s">
        <v>1</v>
      </c>
      <c r="F484" s="6">
        <v>177881</v>
      </c>
      <c r="G484">
        <v>3</v>
      </c>
      <c r="H484" s="6">
        <v>533643</v>
      </c>
      <c r="I484" t="s">
        <v>1028</v>
      </c>
      <c r="J484" t="s">
        <v>3</v>
      </c>
      <c r="K484" t="s">
        <v>547</v>
      </c>
      <c r="L484" t="str">
        <f>IF(Base_ventas[[#This Row],[Método_pago]]="Efectivo","Efectivo","Electrónico")</f>
        <v>Electrónico</v>
      </c>
      <c r="M484" t="str">
        <f t="shared" si="7"/>
        <v>Venta promedio</v>
      </c>
      <c r="N484" s="22"/>
      <c r="O484" s="22"/>
      <c r="P484" s="22"/>
    </row>
    <row r="485" spans="1:16" x14ac:dyDescent="0.35">
      <c r="A485">
        <v>5295</v>
      </c>
      <c r="B485" t="s">
        <v>520</v>
      </c>
      <c r="C485" s="1">
        <v>45636</v>
      </c>
      <c r="D485" t="s">
        <v>22</v>
      </c>
      <c r="E485" t="s">
        <v>23</v>
      </c>
      <c r="F485" s="6">
        <v>741722</v>
      </c>
      <c r="G485">
        <v>1</v>
      </c>
      <c r="H485" s="6">
        <v>741722</v>
      </c>
      <c r="I485" t="s">
        <v>1029</v>
      </c>
      <c r="J485" t="s">
        <v>4</v>
      </c>
      <c r="K485" t="s">
        <v>571</v>
      </c>
      <c r="L485" t="str">
        <f>IF(Base_ventas[[#This Row],[Método_pago]]="Efectivo","Efectivo","Electrónico")</f>
        <v>Electrónico</v>
      </c>
      <c r="M485" t="str">
        <f t="shared" si="7"/>
        <v>Venta promedio</v>
      </c>
      <c r="N485" s="22"/>
      <c r="O485" s="22"/>
      <c r="P485" s="22"/>
    </row>
    <row r="486" spans="1:16" x14ac:dyDescent="0.35">
      <c r="A486">
        <v>6490</v>
      </c>
      <c r="B486" t="s">
        <v>275</v>
      </c>
      <c r="C486" s="1">
        <v>45637</v>
      </c>
      <c r="D486" t="s">
        <v>28</v>
      </c>
      <c r="E486" t="s">
        <v>1</v>
      </c>
      <c r="F486" s="6">
        <v>177881</v>
      </c>
      <c r="G486">
        <v>1</v>
      </c>
      <c r="H486" s="6">
        <v>177881</v>
      </c>
      <c r="I486" t="s">
        <v>1030</v>
      </c>
      <c r="J486" t="s">
        <v>4</v>
      </c>
      <c r="K486" t="s">
        <v>533</v>
      </c>
      <c r="L486" t="str">
        <f>IF(Base_ventas[[#This Row],[Método_pago]]="Efectivo","Efectivo","Electrónico")</f>
        <v>Electrónico</v>
      </c>
      <c r="M486" t="str">
        <f t="shared" si="7"/>
        <v>Venta promedio</v>
      </c>
      <c r="N486" s="22"/>
      <c r="O486" s="22"/>
      <c r="P486" s="22"/>
    </row>
    <row r="487" spans="1:16" x14ac:dyDescent="0.35">
      <c r="A487">
        <v>2702</v>
      </c>
      <c r="B487" t="s">
        <v>521</v>
      </c>
      <c r="C487" s="1">
        <v>45639</v>
      </c>
      <c r="D487" t="s">
        <v>26</v>
      </c>
      <c r="E487" t="s">
        <v>25</v>
      </c>
      <c r="F487" s="6">
        <v>1844533</v>
      </c>
      <c r="G487">
        <v>1</v>
      </c>
      <c r="H487" s="6">
        <v>1844533</v>
      </c>
      <c r="I487" t="s">
        <v>1031</v>
      </c>
      <c r="J487" t="s">
        <v>1608</v>
      </c>
      <c r="K487" t="s">
        <v>602</v>
      </c>
      <c r="L487" t="str">
        <f>IF(Base_ventas[[#This Row],[Método_pago]]="Efectivo","Efectivo","Electrónico")</f>
        <v>Electrónico</v>
      </c>
      <c r="M487" t="str">
        <f t="shared" si="7"/>
        <v>Venta promedio</v>
      </c>
      <c r="N487" s="22"/>
      <c r="O487" s="22"/>
      <c r="P487" s="22"/>
    </row>
    <row r="488" spans="1:16" x14ac:dyDescent="0.35">
      <c r="A488">
        <v>3460</v>
      </c>
      <c r="B488" t="s">
        <v>51</v>
      </c>
      <c r="C488" s="1">
        <v>45640</v>
      </c>
      <c r="D488" t="s">
        <v>22</v>
      </c>
      <c r="E488" t="s">
        <v>23</v>
      </c>
      <c r="F488" s="6">
        <v>741722</v>
      </c>
      <c r="G488">
        <v>3</v>
      </c>
      <c r="H488" s="6">
        <v>2225166</v>
      </c>
      <c r="I488" t="s">
        <v>1032</v>
      </c>
      <c r="J488" t="s">
        <v>4</v>
      </c>
      <c r="K488" t="s">
        <v>533</v>
      </c>
      <c r="L488" t="str">
        <f>IF(Base_ventas[[#This Row],[Método_pago]]="Efectivo","Efectivo","Electrónico")</f>
        <v>Electrónico</v>
      </c>
      <c r="M488" t="str">
        <f t="shared" si="7"/>
        <v>Best seller</v>
      </c>
      <c r="N488" s="22"/>
      <c r="O488" s="22"/>
      <c r="P488" s="22"/>
    </row>
    <row r="489" spans="1:16" x14ac:dyDescent="0.35">
      <c r="A489">
        <v>6423</v>
      </c>
      <c r="B489" t="s">
        <v>522</v>
      </c>
      <c r="C489" s="1">
        <v>45644</v>
      </c>
      <c r="D489" t="s">
        <v>24</v>
      </c>
      <c r="E489" t="s">
        <v>25</v>
      </c>
      <c r="F489" s="6">
        <v>707995</v>
      </c>
      <c r="G489">
        <v>1</v>
      </c>
      <c r="H489" s="6">
        <v>707995</v>
      </c>
      <c r="I489" t="s">
        <v>1033</v>
      </c>
      <c r="J489" t="s">
        <v>1608</v>
      </c>
      <c r="K489" t="s">
        <v>533</v>
      </c>
      <c r="L489" t="str">
        <f>IF(Base_ventas[[#This Row],[Método_pago]]="Efectivo","Efectivo","Electrónico")</f>
        <v>Electrónico</v>
      </c>
      <c r="M489" t="str">
        <f t="shared" si="7"/>
        <v>Venta promedio</v>
      </c>
      <c r="N489" s="22"/>
      <c r="O489" s="22"/>
      <c r="P489" s="22"/>
    </row>
    <row r="490" spans="1:16" x14ac:dyDescent="0.35">
      <c r="A490">
        <v>8416</v>
      </c>
      <c r="B490" t="s">
        <v>114</v>
      </c>
      <c r="C490" s="1">
        <v>45644</v>
      </c>
      <c r="D490" t="s">
        <v>24</v>
      </c>
      <c r="E490" t="s">
        <v>25</v>
      </c>
      <c r="F490" s="6">
        <v>707995</v>
      </c>
      <c r="G490">
        <v>2</v>
      </c>
      <c r="H490" s="6">
        <v>1415990</v>
      </c>
      <c r="I490" t="s">
        <v>1034</v>
      </c>
      <c r="J490" t="s">
        <v>4</v>
      </c>
      <c r="K490" t="s">
        <v>545</v>
      </c>
      <c r="L490" t="str">
        <f>IF(Base_ventas[[#This Row],[Método_pago]]="Efectivo","Efectivo","Electrónico")</f>
        <v>Electrónico</v>
      </c>
      <c r="M490" t="str">
        <f t="shared" si="7"/>
        <v>Venta promedio</v>
      </c>
      <c r="N490" s="22"/>
      <c r="O490" s="22"/>
      <c r="P490" s="22"/>
    </row>
    <row r="491" spans="1:16" x14ac:dyDescent="0.35">
      <c r="A491">
        <v>2012</v>
      </c>
      <c r="B491" t="s">
        <v>523</v>
      </c>
      <c r="C491" s="1">
        <v>45647</v>
      </c>
      <c r="D491" t="s">
        <v>24</v>
      </c>
      <c r="E491" t="s">
        <v>25</v>
      </c>
      <c r="F491" s="6">
        <v>707995</v>
      </c>
      <c r="G491">
        <v>2</v>
      </c>
      <c r="H491" s="6">
        <v>1415990</v>
      </c>
      <c r="I491" t="s">
        <v>1035</v>
      </c>
      <c r="J491" t="s">
        <v>3</v>
      </c>
      <c r="K491" t="s">
        <v>537</v>
      </c>
      <c r="L491" t="str">
        <f>IF(Base_ventas[[#This Row],[Método_pago]]="Efectivo","Efectivo","Electrónico")</f>
        <v>Electrónico</v>
      </c>
      <c r="M491" t="str">
        <f t="shared" si="7"/>
        <v>Venta promedio</v>
      </c>
      <c r="N491" s="22"/>
      <c r="O491" s="22"/>
      <c r="P491" s="22"/>
    </row>
    <row r="492" spans="1:16" x14ac:dyDescent="0.35">
      <c r="A492">
        <v>2074</v>
      </c>
      <c r="B492" t="s">
        <v>524</v>
      </c>
      <c r="C492" s="1">
        <v>45647</v>
      </c>
      <c r="D492" t="s">
        <v>28</v>
      </c>
      <c r="E492" t="s">
        <v>1</v>
      </c>
      <c r="F492" s="6">
        <v>177881</v>
      </c>
      <c r="G492">
        <v>3</v>
      </c>
      <c r="H492" s="6">
        <v>533643</v>
      </c>
      <c r="I492" t="s">
        <v>1036</v>
      </c>
      <c r="J492" t="s">
        <v>1608</v>
      </c>
      <c r="K492" t="s">
        <v>545</v>
      </c>
      <c r="L492" t="str">
        <f>IF(Base_ventas[[#This Row],[Método_pago]]="Efectivo","Efectivo","Electrónico")</f>
        <v>Electrónico</v>
      </c>
      <c r="M492" t="str">
        <f t="shared" si="7"/>
        <v>Venta promedio</v>
      </c>
      <c r="N492" s="22"/>
      <c r="O492" s="22"/>
      <c r="P492" s="22"/>
    </row>
    <row r="493" spans="1:16" x14ac:dyDescent="0.35">
      <c r="A493">
        <v>9897</v>
      </c>
      <c r="B493" t="s">
        <v>525</v>
      </c>
      <c r="C493" s="1">
        <v>45647</v>
      </c>
      <c r="D493" t="s">
        <v>26</v>
      </c>
      <c r="E493" t="s">
        <v>25</v>
      </c>
      <c r="F493" s="6">
        <v>1844533</v>
      </c>
      <c r="G493">
        <v>3</v>
      </c>
      <c r="H493" s="6">
        <v>5533599</v>
      </c>
      <c r="I493" t="s">
        <v>1037</v>
      </c>
      <c r="J493" t="s">
        <v>3</v>
      </c>
      <c r="K493" t="s">
        <v>533</v>
      </c>
      <c r="L493" t="str">
        <f>IF(Base_ventas[[#This Row],[Método_pago]]="Efectivo","Efectivo","Electrónico")</f>
        <v>Electrónico</v>
      </c>
      <c r="M493" t="str">
        <f t="shared" si="7"/>
        <v>Best seller</v>
      </c>
      <c r="N493" s="22"/>
      <c r="O493" s="22"/>
      <c r="P493" s="22"/>
    </row>
    <row r="494" spans="1:16" x14ac:dyDescent="0.35">
      <c r="A494">
        <v>9977</v>
      </c>
      <c r="B494" t="s">
        <v>81</v>
      </c>
      <c r="C494" s="1">
        <v>45648</v>
      </c>
      <c r="D494" t="s">
        <v>28</v>
      </c>
      <c r="E494" t="s">
        <v>1</v>
      </c>
      <c r="F494" s="6">
        <v>177881</v>
      </c>
      <c r="G494">
        <v>1</v>
      </c>
      <c r="H494" s="6">
        <v>177881</v>
      </c>
      <c r="I494" t="s">
        <v>1038</v>
      </c>
      <c r="J494" t="s">
        <v>1608</v>
      </c>
      <c r="K494" t="s">
        <v>577</v>
      </c>
      <c r="L494" t="str">
        <f>IF(Base_ventas[[#This Row],[Método_pago]]="Efectivo","Efectivo","Electrónico")</f>
        <v>Electrónico</v>
      </c>
      <c r="M494" t="str">
        <f t="shared" si="7"/>
        <v>Venta promedio</v>
      </c>
      <c r="N494" s="22"/>
      <c r="O494" s="22"/>
      <c r="P494" s="22"/>
    </row>
    <row r="495" spans="1:16" x14ac:dyDescent="0.35">
      <c r="A495">
        <v>6348</v>
      </c>
      <c r="B495" t="s">
        <v>112</v>
      </c>
      <c r="C495" s="1">
        <v>45648</v>
      </c>
      <c r="D495" t="s">
        <v>24</v>
      </c>
      <c r="E495" t="s">
        <v>25</v>
      </c>
      <c r="F495" s="6">
        <v>707995</v>
      </c>
      <c r="G495">
        <v>3</v>
      </c>
      <c r="H495" s="6">
        <v>2123985</v>
      </c>
      <c r="I495" t="s">
        <v>1039</v>
      </c>
      <c r="J495" t="s">
        <v>2</v>
      </c>
      <c r="K495" t="s">
        <v>539</v>
      </c>
      <c r="L495" t="str">
        <f>IF(Base_ventas[[#This Row],[Método_pago]]="Efectivo","Efectivo","Electrónico")</f>
        <v>Efectivo</v>
      </c>
      <c r="M495" t="str">
        <f t="shared" si="7"/>
        <v>Best seller</v>
      </c>
      <c r="N495" s="22"/>
      <c r="O495" s="22"/>
      <c r="P495" s="22"/>
    </row>
    <row r="496" spans="1:16" x14ac:dyDescent="0.35">
      <c r="A496">
        <v>1609</v>
      </c>
      <c r="B496" t="s">
        <v>154</v>
      </c>
      <c r="C496" s="1">
        <v>45649</v>
      </c>
      <c r="D496" t="s">
        <v>22</v>
      </c>
      <c r="E496" t="s">
        <v>23</v>
      </c>
      <c r="F496" s="6">
        <v>741722</v>
      </c>
      <c r="G496">
        <v>1</v>
      </c>
      <c r="H496" s="6">
        <v>741722</v>
      </c>
      <c r="I496" t="s">
        <v>1040</v>
      </c>
      <c r="J496" t="s">
        <v>3</v>
      </c>
      <c r="K496" t="s">
        <v>581</v>
      </c>
      <c r="L496" t="str">
        <f>IF(Base_ventas[[#This Row],[Método_pago]]="Efectivo","Efectivo","Electrónico")</f>
        <v>Electrónico</v>
      </c>
      <c r="M496" t="str">
        <f t="shared" si="7"/>
        <v>Venta promedio</v>
      </c>
      <c r="N496" s="22"/>
      <c r="O496" s="22"/>
      <c r="P496" s="22"/>
    </row>
    <row r="497" spans="1:16" x14ac:dyDescent="0.35">
      <c r="A497">
        <v>3091</v>
      </c>
      <c r="B497" t="s">
        <v>526</v>
      </c>
      <c r="C497" s="1">
        <v>45652</v>
      </c>
      <c r="D497" t="s">
        <v>30</v>
      </c>
      <c r="E497" t="s">
        <v>1</v>
      </c>
      <c r="F497" s="6">
        <v>114971</v>
      </c>
      <c r="G497">
        <v>2</v>
      </c>
      <c r="H497" s="6">
        <v>229942</v>
      </c>
      <c r="I497" t="s">
        <v>1041</v>
      </c>
      <c r="J497" t="s">
        <v>3</v>
      </c>
      <c r="K497" t="s">
        <v>539</v>
      </c>
      <c r="L497" t="str">
        <f>IF(Base_ventas[[#This Row],[Método_pago]]="Efectivo","Efectivo","Electrónico")</f>
        <v>Electrónico</v>
      </c>
      <c r="M497" t="str">
        <f t="shared" si="7"/>
        <v>Venta promedio</v>
      </c>
      <c r="N497" s="22"/>
      <c r="O497" s="22"/>
      <c r="P497" s="22"/>
    </row>
    <row r="498" spans="1:16" x14ac:dyDescent="0.35">
      <c r="A498">
        <v>5708</v>
      </c>
      <c r="B498" t="s">
        <v>527</v>
      </c>
      <c r="C498" s="1">
        <v>45652</v>
      </c>
      <c r="D498" t="s">
        <v>22</v>
      </c>
      <c r="E498" t="s">
        <v>23</v>
      </c>
      <c r="F498" s="6">
        <v>741722</v>
      </c>
      <c r="G498">
        <v>1</v>
      </c>
      <c r="H498" s="6">
        <v>741722</v>
      </c>
      <c r="I498" t="s">
        <v>1042</v>
      </c>
      <c r="J498" t="s">
        <v>2</v>
      </c>
      <c r="K498" t="s">
        <v>579</v>
      </c>
      <c r="L498" t="str">
        <f>IF(Base_ventas[[#This Row],[Método_pago]]="Efectivo","Efectivo","Electrónico")</f>
        <v>Efectivo</v>
      </c>
      <c r="M498" t="str">
        <f t="shared" si="7"/>
        <v>Venta promedio</v>
      </c>
      <c r="N498" s="22"/>
      <c r="O498" s="22"/>
      <c r="P498" s="22"/>
    </row>
    <row r="499" spans="1:16" x14ac:dyDescent="0.35">
      <c r="A499">
        <v>5800</v>
      </c>
      <c r="B499" t="s">
        <v>171</v>
      </c>
      <c r="C499" s="1">
        <v>45653</v>
      </c>
      <c r="D499" t="s">
        <v>22</v>
      </c>
      <c r="E499" t="s">
        <v>23</v>
      </c>
      <c r="F499" s="6">
        <v>741722</v>
      </c>
      <c r="G499">
        <v>1</v>
      </c>
      <c r="H499" s="6">
        <v>741722</v>
      </c>
      <c r="I499" t="s">
        <v>1043</v>
      </c>
      <c r="J499" t="s">
        <v>2</v>
      </c>
      <c r="K499" t="s">
        <v>547</v>
      </c>
      <c r="L499" t="str">
        <f>IF(Base_ventas[[#This Row],[Método_pago]]="Efectivo","Efectivo","Electrónico")</f>
        <v>Efectivo</v>
      </c>
      <c r="M499" t="str">
        <f t="shared" si="7"/>
        <v>Venta promedio</v>
      </c>
      <c r="N499" s="22"/>
      <c r="O499" s="22"/>
      <c r="P499" s="22"/>
    </row>
    <row r="500" spans="1:16" x14ac:dyDescent="0.35">
      <c r="A500">
        <v>9955</v>
      </c>
      <c r="B500" t="s">
        <v>528</v>
      </c>
      <c r="C500" s="1">
        <v>45654</v>
      </c>
      <c r="D500" t="s">
        <v>22</v>
      </c>
      <c r="E500" t="s">
        <v>23</v>
      </c>
      <c r="F500" s="6">
        <v>741722</v>
      </c>
      <c r="G500">
        <v>1</v>
      </c>
      <c r="H500" s="6">
        <v>741722</v>
      </c>
      <c r="I500" t="s">
        <v>1044</v>
      </c>
      <c r="J500" t="s">
        <v>4</v>
      </c>
      <c r="K500" t="s">
        <v>537</v>
      </c>
      <c r="L500" t="str">
        <f>IF(Base_ventas[[#This Row],[Método_pago]]="Efectivo","Efectivo","Electrónico")</f>
        <v>Electrónico</v>
      </c>
      <c r="M500" t="str">
        <f t="shared" si="7"/>
        <v>Venta promedio</v>
      </c>
      <c r="N500" s="22"/>
      <c r="O500" s="22"/>
      <c r="P500" s="22"/>
    </row>
    <row r="501" spans="1:16" x14ac:dyDescent="0.35">
      <c r="A501">
        <v>4437</v>
      </c>
      <c r="B501" t="s">
        <v>162</v>
      </c>
      <c r="C501" s="1">
        <v>45655</v>
      </c>
      <c r="D501" t="s">
        <v>26</v>
      </c>
      <c r="E501" t="s">
        <v>25</v>
      </c>
      <c r="F501" s="6">
        <v>1844533</v>
      </c>
      <c r="G501">
        <v>1</v>
      </c>
      <c r="H501" s="6">
        <v>1844533</v>
      </c>
      <c r="I501" t="s">
        <v>1045</v>
      </c>
      <c r="J501" t="s">
        <v>3</v>
      </c>
      <c r="K501" t="s">
        <v>561</v>
      </c>
      <c r="L501" t="str">
        <f>IF(Base_ventas[[#This Row],[Método_pago]]="Efectivo","Efectivo","Electrónico")</f>
        <v>Electrónico</v>
      </c>
      <c r="M501" t="str">
        <f t="shared" si="7"/>
        <v>Venta promedio</v>
      </c>
      <c r="N501" s="22"/>
      <c r="O501" s="22"/>
      <c r="P501" s="22"/>
    </row>
    <row r="502" spans="1:16" x14ac:dyDescent="0.35">
      <c r="A502">
        <v>4481</v>
      </c>
      <c r="B502" t="s">
        <v>529</v>
      </c>
      <c r="C502" s="1">
        <v>45656</v>
      </c>
      <c r="D502" t="s">
        <v>28</v>
      </c>
      <c r="E502" t="s">
        <v>1</v>
      </c>
      <c r="F502" s="6">
        <v>177881</v>
      </c>
      <c r="G502">
        <v>2</v>
      </c>
      <c r="H502" s="6">
        <v>355762</v>
      </c>
      <c r="I502" t="s">
        <v>1046</v>
      </c>
      <c r="J502" t="s">
        <v>1608</v>
      </c>
      <c r="K502" t="s">
        <v>622</v>
      </c>
      <c r="L502" t="str">
        <f>IF(Base_ventas[[#This Row],[Método_pago]]="Efectivo","Efectivo","Electrónico")</f>
        <v>Electrónico</v>
      </c>
      <c r="M502" t="str">
        <f t="shared" si="7"/>
        <v>Venta promedio</v>
      </c>
      <c r="N502" s="22"/>
      <c r="O502" s="22"/>
      <c r="P502" s="22"/>
    </row>
    <row r="503" spans="1:16" x14ac:dyDescent="0.35">
      <c r="A503">
        <v>5010</v>
      </c>
      <c r="B503" t="s">
        <v>207</v>
      </c>
      <c r="C503" s="1">
        <v>45657</v>
      </c>
      <c r="D503" t="s">
        <v>30</v>
      </c>
      <c r="E503" t="s">
        <v>1</v>
      </c>
      <c r="F503" s="6">
        <v>114971</v>
      </c>
      <c r="G503">
        <v>1</v>
      </c>
      <c r="H503" s="6">
        <v>114971</v>
      </c>
      <c r="I503" t="s">
        <v>1047</v>
      </c>
      <c r="J503" t="s">
        <v>3</v>
      </c>
      <c r="K503" t="s">
        <v>579</v>
      </c>
      <c r="L503" t="str">
        <f>IF(Base_ventas[[#This Row],[Método_pago]]="Efectivo","Efectivo","Electrónico")</f>
        <v>Electrónico</v>
      </c>
      <c r="M503" t="str">
        <f t="shared" si="7"/>
        <v>Venta promedio</v>
      </c>
      <c r="N503" s="22"/>
      <c r="O503" s="22"/>
      <c r="P503" s="22"/>
    </row>
    <row r="504" spans="1:16" x14ac:dyDescent="0.35"/>
  </sheetData>
  <phoneticPr fontId="21" type="noConversion"/>
  <conditionalFormatting sqref="M4:M503">
    <cfRule type="containsText" dxfId="13" priority="1" operator="containsText" text="Venta promedio">
      <formula>NOT(ISERROR(SEARCH("Venta promedio",M4)))</formula>
    </cfRule>
    <cfRule type="containsText" dxfId="12" priority="2" operator="containsText" text="Best seller">
      <formula>NOT(ISERROR(SEARCH("Best seller",M4)))</formula>
    </cfRule>
  </conditionalFormatting>
  <dataValidations count="4">
    <dataValidation type="whole" allowBlank="1" showInputMessage="1" showErrorMessage="1" errorTitle="Error" error="La columna ID_cliente solo acepta valores numéricos enteros." sqref="A4:A503" xr:uid="{261D25A7-60C5-4F4D-AC4C-1DFF836F836C}">
      <formula1>1</formula1>
      <formula2>1E+25</formula2>
    </dataValidation>
    <dataValidation type="date" allowBlank="1" showInputMessage="1" showErrorMessage="1" errorTitle="Error" error="La columna Fecha_venta solo acepta ventas realizadas en el año 2024 con formato DD/MM/YYYY. " sqref="C4:C503" xr:uid="{A7EB4288-CC35-44D4-85F6-AB5690D5990A}">
      <formula1>45292</formula1>
      <formula2>45657</formula2>
    </dataValidation>
    <dataValidation type="decimal" allowBlank="1" showInputMessage="1" showErrorMessage="1" errorTitle="Error" error="La columna Precio_unitario solo acepta valores numéricos." sqref="F4:F503" xr:uid="{A3503409-1F5F-40BC-96BA-F01B9B589AB7}">
      <formula1>0</formula1>
      <formula2>1E+40</formula2>
    </dataValidation>
    <dataValidation type="decimal" allowBlank="1" showInputMessage="1" showErrorMessage="1" errorTitle="Error" error="La columna Total_venta solo acepta valores numéricos." sqref="M461 H4:H503" xr:uid="{02EAF0A8-B7F0-434C-A0B2-AF55D887BE2D}">
      <formula1>0</formula1>
      <formula2>1E+49</formula2>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Error" error="La columna Método_pago solo acepta valores en lista." xr:uid="{01CFAF6F-2277-4465-B83E-C53953A375BB}">
          <x14:formula1>
            <xm:f>Auxiliar!$E$2:$E$5</xm:f>
          </x14:formula1>
          <xm:sqref>J4:J503</xm:sqref>
        </x14:dataValidation>
        <x14:dataValidation type="list" allowBlank="1" showInputMessage="1" showErrorMessage="1" errorTitle="Error" error="La columna Ubicación solo acepta valores en lista." xr:uid="{E93825A6-96FE-4D3C-829C-858E3C1BD537}">
          <x14:formula1>
            <xm:f>Auxiliar!$G$2:$G$16</xm:f>
          </x14:formula1>
          <xm:sqref>K4:K503</xm:sqref>
        </x14:dataValidation>
        <x14:dataValidation type="list" allowBlank="1" showInputMessage="1" showErrorMessage="1" errorTitle="Error" error="La columna Producto solo acepta valores en lista." xr:uid="{97D7C735-6539-47E5-8428-BEC9EED2D679}">
          <x14:formula1>
            <xm:f>Auxiliar!$A$2:$A$6</xm:f>
          </x14:formula1>
          <xm:sqref>D4:D503</xm:sqref>
        </x14:dataValidation>
        <x14:dataValidation type="list" allowBlank="1" showInputMessage="1" showErrorMessage="1" errorTitle="Error" error="La columna Categoría solo acepta valores en lista." xr:uid="{1EB55BD5-701B-444B-90C6-C55B1CB8A122}">
          <x14:formula1>
            <xm:f>Auxiliar!$C$2:$C$4</xm:f>
          </x14:formula1>
          <xm:sqref>E4:E503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18543-FBE1-49E8-83EA-B3F27C1A34F3}">
  <sheetPr codeName="Hoja5">
    <pageSetUpPr autoPageBreaks="0"/>
  </sheetPr>
  <dimension ref="A1:V46"/>
  <sheetViews>
    <sheetView showGridLines="0" zoomScale="85" zoomScaleNormal="85" workbookViewId="0">
      <selection activeCell="A46" sqref="A46"/>
    </sheetView>
  </sheetViews>
  <sheetFormatPr baseColWidth="10" defaultColWidth="0" defaultRowHeight="17.25" zeroHeight="1" x14ac:dyDescent="0.35"/>
  <cols>
    <col min="1" max="2" width="11" customWidth="1"/>
    <col min="3" max="3" width="11.625" customWidth="1"/>
    <col min="4" max="4" width="6.875" customWidth="1"/>
    <col min="5" max="5" width="8.625" customWidth="1"/>
    <col min="6" max="10" width="5.875" customWidth="1"/>
    <col min="11" max="11" width="11" customWidth="1"/>
    <col min="12" max="12" width="30.75" customWidth="1"/>
    <col min="13" max="13" width="28.125" customWidth="1"/>
    <col min="14" max="14" width="27.625" customWidth="1"/>
    <col min="15" max="15" width="24.5" customWidth="1"/>
    <col min="16" max="16" width="20" customWidth="1"/>
    <col min="17" max="19" width="11" customWidth="1"/>
    <col min="20" max="20" width="12.25" customWidth="1"/>
    <col min="21" max="22" width="0" hidden="1" customWidth="1"/>
    <col min="23" max="23" width="11" hidden="1" customWidth="1"/>
    <col min="24" max="16384" width="11" hidden="1"/>
  </cols>
  <sheetData>
    <row r="1" spans="1:20" x14ac:dyDescent="0.35">
      <c r="A1" s="22"/>
      <c r="B1" s="22"/>
      <c r="C1" s="22"/>
      <c r="D1" s="22"/>
      <c r="E1" s="22"/>
      <c r="F1" s="22"/>
      <c r="G1" s="22"/>
      <c r="H1" s="22"/>
      <c r="I1" s="22"/>
      <c r="J1" s="22"/>
      <c r="K1" s="22"/>
      <c r="L1" s="22"/>
      <c r="M1" s="22"/>
      <c r="N1" s="22"/>
      <c r="O1" s="22"/>
      <c r="P1" s="22"/>
      <c r="Q1" s="22"/>
      <c r="R1" s="22"/>
      <c r="S1" s="22"/>
      <c r="T1" s="22"/>
    </row>
    <row r="2" spans="1:20" x14ac:dyDescent="0.35">
      <c r="A2" s="22"/>
      <c r="B2" s="22"/>
      <c r="C2" s="22"/>
      <c r="D2" s="22"/>
      <c r="E2" s="22"/>
      <c r="F2" s="22"/>
      <c r="G2" s="22"/>
      <c r="H2" s="22"/>
      <c r="I2" s="22"/>
      <c r="J2" s="22"/>
      <c r="K2" s="22"/>
      <c r="L2" s="22"/>
      <c r="M2" s="22"/>
      <c r="N2" s="22"/>
      <c r="O2" s="22"/>
      <c r="P2" s="22"/>
      <c r="Q2" s="22"/>
      <c r="R2" s="22"/>
      <c r="S2" s="22"/>
      <c r="T2" s="22"/>
    </row>
    <row r="3" spans="1:20" x14ac:dyDescent="0.35">
      <c r="L3" s="27" t="s">
        <v>1558</v>
      </c>
      <c r="M3" s="5"/>
      <c r="N3" s="5"/>
      <c r="O3" s="27" t="s">
        <v>1597</v>
      </c>
      <c r="P3" s="5"/>
      <c r="S3" s="27" t="s">
        <v>1560</v>
      </c>
    </row>
    <row r="4" spans="1:20" x14ac:dyDescent="0.35">
      <c r="L4" s="28"/>
      <c r="O4" s="28"/>
      <c r="S4" s="28"/>
    </row>
    <row r="5" spans="1:20" x14ac:dyDescent="0.35">
      <c r="A5" s="30" t="s">
        <v>1622</v>
      </c>
      <c r="B5" s="22"/>
      <c r="C5" s="22"/>
      <c r="D5" s="22"/>
      <c r="E5" s="22"/>
      <c r="F5" s="22"/>
      <c r="G5" s="22"/>
      <c r="H5" s="22"/>
      <c r="I5" s="22"/>
      <c r="J5" s="22"/>
      <c r="K5" s="22"/>
      <c r="L5" s="29"/>
      <c r="M5" s="22"/>
      <c r="N5" s="22"/>
      <c r="O5" s="29"/>
      <c r="P5" s="22"/>
      <c r="Q5" s="22"/>
      <c r="R5" s="22"/>
      <c r="S5" s="29"/>
      <c r="T5" s="22"/>
    </row>
    <row r="6" spans="1:20" ht="18" thickBot="1" x14ac:dyDescent="0.4">
      <c r="L6" s="28" t="s">
        <v>1559</v>
      </c>
      <c r="O6" s="9" t="s">
        <v>14</v>
      </c>
      <c r="P6" s="9" t="s">
        <v>1557</v>
      </c>
      <c r="S6" s="28" t="s">
        <v>1587</v>
      </c>
    </row>
    <row r="7" spans="1:20" ht="18" thickTop="1" x14ac:dyDescent="0.35">
      <c r="L7" s="28" t="str">
        <f ca="1">_xlfn.FORMULATEXT(P7)</f>
        <v>=SUMAR.SI.CONJUNTO(Base_ventas[Cantidad_vendida];Base_ventas[Categoría];O7)</v>
      </c>
      <c r="O7" s="8" t="s">
        <v>1</v>
      </c>
      <c r="P7" s="8">
        <f>SUMIFS(Base_ventas[Cantidad_vendida],Base_ventas[Categoría],O7)</f>
        <v>398</v>
      </c>
      <c r="S7" s="28"/>
    </row>
    <row r="8" spans="1:20" x14ac:dyDescent="0.35">
      <c r="L8" s="28"/>
      <c r="O8" s="7" t="s">
        <v>25</v>
      </c>
      <c r="P8" s="7">
        <f>SUMIFS(Base_ventas[Cantidad_vendida],Base_ventas[Categoría],O8)</f>
        <v>390</v>
      </c>
      <c r="S8" s="28"/>
    </row>
    <row r="9" spans="1:20" x14ac:dyDescent="0.35">
      <c r="L9" s="28"/>
      <c r="O9" s="7" t="s">
        <v>23</v>
      </c>
      <c r="P9" s="7">
        <f>SUMIFS(Base_ventas[Cantidad_vendida],Base_ventas[Categoría],O9)</f>
        <v>204</v>
      </c>
      <c r="S9" s="28"/>
    </row>
    <row r="10" spans="1:20" x14ac:dyDescent="0.35">
      <c r="A10" s="30" t="s">
        <v>1589</v>
      </c>
      <c r="B10" s="22"/>
      <c r="C10" s="22"/>
      <c r="D10" s="22"/>
      <c r="E10" s="22"/>
      <c r="F10" s="22"/>
      <c r="G10" s="22"/>
      <c r="H10" s="22"/>
      <c r="I10" s="22"/>
      <c r="J10" s="22"/>
      <c r="K10" s="22"/>
      <c r="L10" s="29"/>
      <c r="M10" s="22"/>
      <c r="N10" s="22"/>
      <c r="O10" s="29"/>
      <c r="P10" s="22"/>
      <c r="Q10" s="22"/>
      <c r="R10" s="22"/>
      <c r="S10" s="29"/>
      <c r="T10" s="22"/>
    </row>
    <row r="11" spans="1:20" ht="18" thickBot="1" x14ac:dyDescent="0.4">
      <c r="L11" s="28" t="s">
        <v>1565</v>
      </c>
      <c r="O11" s="9" t="s">
        <v>1563</v>
      </c>
      <c r="P11" s="9" t="s">
        <v>1567</v>
      </c>
      <c r="Q11" s="9" t="s">
        <v>1564</v>
      </c>
      <c r="S11" s="28" t="s">
        <v>1566</v>
      </c>
    </row>
    <row r="12" spans="1:20" ht="18" thickTop="1" x14ac:dyDescent="0.35">
      <c r="L12" s="28" t="str">
        <f ca="1">_xlfn.FORMULATEXT(O12)</f>
        <v>=SUMA(Base_ventas[Cantidad_vendida])</v>
      </c>
      <c r="M12" t="str">
        <f ca="1">_xlfn.FORMULATEXT(P12)</f>
        <v>=CONTAR(Base_ventas[ID_cliente])</v>
      </c>
      <c r="N12" t="str">
        <f ca="1">_xlfn.FORMULATEXT(Q12)</f>
        <v>=PROMEDIO(O12/P12)</v>
      </c>
      <c r="O12" s="8">
        <f>SUM(Base_ventas[Cantidad_vendida])</f>
        <v>992</v>
      </c>
      <c r="P12" s="8">
        <f>COUNT(Base_ventas[ID_cliente])</f>
        <v>500</v>
      </c>
      <c r="Q12" s="10">
        <f>AVERAGE(O12/P12)</f>
        <v>1.984</v>
      </c>
      <c r="S12" s="28"/>
    </row>
    <row r="13" spans="1:20" x14ac:dyDescent="0.35">
      <c r="A13" s="30" t="s">
        <v>1588</v>
      </c>
      <c r="B13" s="22"/>
      <c r="C13" s="22"/>
      <c r="D13" s="22"/>
      <c r="E13" s="22"/>
      <c r="F13" s="22"/>
      <c r="G13" s="22"/>
      <c r="H13" s="22"/>
      <c r="I13" s="22"/>
      <c r="J13" s="22"/>
      <c r="K13" s="22"/>
      <c r="L13" s="29"/>
      <c r="M13" s="22"/>
      <c r="N13" s="22"/>
      <c r="O13" s="29"/>
      <c r="P13" s="22"/>
      <c r="Q13" s="22"/>
      <c r="R13" s="22"/>
      <c r="S13" s="29"/>
      <c r="T13" s="22"/>
    </row>
    <row r="14" spans="1:20" ht="18" thickBot="1" x14ac:dyDescent="0.4">
      <c r="L14" s="28" t="s">
        <v>1561</v>
      </c>
      <c r="O14" s="9" t="s">
        <v>20</v>
      </c>
      <c r="P14" s="9" t="s">
        <v>1562</v>
      </c>
      <c r="S14" s="28" t="s">
        <v>1615</v>
      </c>
    </row>
    <row r="15" spans="1:20" ht="18" thickTop="1" x14ac:dyDescent="0.35">
      <c r="L15" s="28" t="str">
        <f ca="1">_xlfn.FORMULATEXT(P15)</f>
        <v>=CONTAR.SI.CONJUNTO(Base_ventas[Ubicación];O15)</v>
      </c>
      <c r="O15" s="8" t="s">
        <v>579</v>
      </c>
      <c r="P15" s="8">
        <f>COUNTIFS(Base_ventas[Ubicación],O15)</f>
        <v>48</v>
      </c>
      <c r="S15" s="28"/>
    </row>
    <row r="16" spans="1:20" x14ac:dyDescent="0.35">
      <c r="L16" s="28"/>
      <c r="O16" s="7" t="s">
        <v>561</v>
      </c>
      <c r="P16" s="8">
        <f>COUNTIFS(Base_ventas[Ubicación],O16)</f>
        <v>39</v>
      </c>
      <c r="S16" s="28"/>
    </row>
    <row r="17" spans="1:20" x14ac:dyDescent="0.35">
      <c r="L17" s="28"/>
      <c r="O17" s="7" t="s">
        <v>537</v>
      </c>
      <c r="P17" s="8">
        <f>COUNTIFS(Base_ventas[Ubicación],O17)</f>
        <v>39</v>
      </c>
      <c r="S17" s="28"/>
    </row>
    <row r="18" spans="1:20" x14ac:dyDescent="0.35">
      <c r="L18" s="28"/>
      <c r="O18" s="7" t="s">
        <v>545</v>
      </c>
      <c r="P18" s="8">
        <f>COUNTIFS(Base_ventas[Ubicación],O18)</f>
        <v>38</v>
      </c>
      <c r="S18" s="28"/>
    </row>
    <row r="19" spans="1:20" x14ac:dyDescent="0.35">
      <c r="L19" s="28"/>
      <c r="O19" s="7" t="s">
        <v>535</v>
      </c>
      <c r="P19" s="8">
        <f>COUNTIFS(Base_ventas[Ubicación],O19)</f>
        <v>37</v>
      </c>
      <c r="S19" s="28"/>
    </row>
    <row r="20" spans="1:20" x14ac:dyDescent="0.35">
      <c r="L20" s="28"/>
      <c r="O20" s="7" t="s">
        <v>539</v>
      </c>
      <c r="P20" s="8">
        <f>COUNTIFS(Base_ventas[Ubicación],O20)</f>
        <v>35</v>
      </c>
      <c r="S20" s="28"/>
    </row>
    <row r="21" spans="1:20" x14ac:dyDescent="0.35">
      <c r="L21" s="28"/>
      <c r="O21" s="7" t="s">
        <v>602</v>
      </c>
      <c r="P21" s="8">
        <f>COUNTIFS(Base_ventas[Ubicación],O21)</f>
        <v>33</v>
      </c>
      <c r="S21" s="28"/>
    </row>
    <row r="22" spans="1:20" x14ac:dyDescent="0.35">
      <c r="L22" s="28"/>
      <c r="O22" s="7" t="s">
        <v>543</v>
      </c>
      <c r="P22" s="8">
        <f>COUNTIFS(Base_ventas[Ubicación],O22)</f>
        <v>33</v>
      </c>
      <c r="S22" s="28"/>
    </row>
    <row r="23" spans="1:20" x14ac:dyDescent="0.35">
      <c r="L23" s="28"/>
      <c r="O23" s="7" t="s">
        <v>581</v>
      </c>
      <c r="P23" s="8">
        <f>COUNTIFS(Base_ventas[Ubicación],O23)</f>
        <v>31</v>
      </c>
      <c r="S23" s="28"/>
    </row>
    <row r="24" spans="1:20" x14ac:dyDescent="0.35">
      <c r="L24" s="28"/>
      <c r="O24" s="7" t="s">
        <v>541</v>
      </c>
      <c r="P24" s="8">
        <f>COUNTIFS(Base_ventas[Ubicación],O24)</f>
        <v>31</v>
      </c>
      <c r="S24" s="28"/>
    </row>
    <row r="25" spans="1:20" x14ac:dyDescent="0.35">
      <c r="L25" s="28"/>
      <c r="O25" s="7" t="s">
        <v>622</v>
      </c>
      <c r="P25" s="8">
        <f>COUNTIFS(Base_ventas[Ubicación],O25)</f>
        <v>29</v>
      </c>
      <c r="S25" s="28"/>
    </row>
    <row r="26" spans="1:20" x14ac:dyDescent="0.35">
      <c r="L26" s="28"/>
      <c r="O26" s="7" t="s">
        <v>533</v>
      </c>
      <c r="P26" s="8">
        <f>COUNTIFS(Base_ventas[Ubicación],O26)</f>
        <v>29</v>
      </c>
      <c r="S26" s="28"/>
    </row>
    <row r="27" spans="1:20" x14ac:dyDescent="0.35">
      <c r="L27" s="28"/>
      <c r="O27" s="7" t="s">
        <v>577</v>
      </c>
      <c r="P27" s="8">
        <f>COUNTIFS(Base_ventas[Ubicación],O27)</f>
        <v>29</v>
      </c>
      <c r="S27" s="28"/>
    </row>
    <row r="28" spans="1:20" x14ac:dyDescent="0.35">
      <c r="L28" s="28"/>
      <c r="O28" s="7" t="s">
        <v>571</v>
      </c>
      <c r="P28" s="8">
        <f>COUNTIFS(Base_ventas[Ubicación],O28)</f>
        <v>27</v>
      </c>
      <c r="S28" s="28"/>
    </row>
    <row r="29" spans="1:20" x14ac:dyDescent="0.35">
      <c r="L29" s="28"/>
      <c r="O29" s="7" t="s">
        <v>547</v>
      </c>
      <c r="P29" s="8">
        <f>COUNTIFS(Base_ventas[Ubicación],O29)</f>
        <v>22</v>
      </c>
      <c r="S29" s="28"/>
    </row>
    <row r="30" spans="1:20" x14ac:dyDescent="0.35">
      <c r="A30" s="30" t="s">
        <v>1591</v>
      </c>
      <c r="B30" s="22"/>
      <c r="C30" s="22"/>
      <c r="D30" s="22"/>
      <c r="E30" s="22"/>
      <c r="F30" s="22"/>
      <c r="G30" s="22"/>
      <c r="H30" s="22"/>
      <c r="I30" s="22"/>
      <c r="J30" s="22"/>
      <c r="K30" s="22"/>
      <c r="L30" s="29"/>
      <c r="M30" s="22"/>
      <c r="N30" s="22"/>
      <c r="O30" s="29"/>
      <c r="P30" s="22"/>
      <c r="Q30" s="22"/>
      <c r="R30" s="22"/>
      <c r="S30" s="29"/>
      <c r="T30" s="22"/>
    </row>
    <row r="31" spans="1:20" ht="18" thickBot="1" x14ac:dyDescent="0.4">
      <c r="L31" s="28" t="s">
        <v>1559</v>
      </c>
      <c r="O31" s="9" t="s">
        <v>13</v>
      </c>
      <c r="P31" s="9" t="s">
        <v>1592</v>
      </c>
      <c r="S31" s="28" t="s">
        <v>1593</v>
      </c>
    </row>
    <row r="32" spans="1:20" ht="18" thickTop="1" x14ac:dyDescent="0.35">
      <c r="L32" s="28" t="str">
        <f ca="1">_xlfn.FORMULATEXT(P32)</f>
        <v>=SUMAR.SI.CONJUNTO(Base_ventas[Cantidad_vendida];Base_ventas[Producto];O32)</v>
      </c>
      <c r="O32" s="8" t="s">
        <v>28</v>
      </c>
      <c r="P32" s="14">
        <f>SUMIFS(Base_ventas[Cantidad_vendida],Base_ventas[Producto],O32)</f>
        <v>228</v>
      </c>
      <c r="S32" s="28"/>
    </row>
    <row r="33" spans="1:20" x14ac:dyDescent="0.35">
      <c r="L33" s="28"/>
      <c r="O33" s="7" t="s">
        <v>26</v>
      </c>
      <c r="P33" s="15">
        <f>SUMIFS(Base_ventas[Cantidad_vendida],Base_ventas[Producto],O33)</f>
        <v>220</v>
      </c>
      <c r="S33" s="28"/>
    </row>
    <row r="34" spans="1:20" x14ac:dyDescent="0.35">
      <c r="L34" s="28"/>
      <c r="O34" s="7" t="s">
        <v>22</v>
      </c>
      <c r="P34" s="15">
        <f>SUMIFS(Base_ventas[Cantidad_vendida],Base_ventas[Producto],O34)</f>
        <v>204</v>
      </c>
      <c r="S34" s="28"/>
    </row>
    <row r="35" spans="1:20" x14ac:dyDescent="0.35">
      <c r="L35" s="28"/>
      <c r="O35" s="7" t="s">
        <v>24</v>
      </c>
      <c r="P35" s="15">
        <f>SUMIFS(Base_ventas[Cantidad_vendida],Base_ventas[Producto],O35)</f>
        <v>170</v>
      </c>
      <c r="S35" s="28"/>
    </row>
    <row r="36" spans="1:20" x14ac:dyDescent="0.35">
      <c r="B36" s="4"/>
      <c r="C36" s="4"/>
      <c r="D36" s="4"/>
      <c r="E36" s="4"/>
      <c r="F36" s="4"/>
      <c r="G36" s="4"/>
      <c r="H36" s="4"/>
      <c r="I36" s="4"/>
      <c r="J36" s="4"/>
      <c r="L36" s="28"/>
      <c r="O36" s="7" t="s">
        <v>30</v>
      </c>
      <c r="P36" s="15">
        <f>SUMIFS(Base_ventas[Cantidad_vendida],Base_ventas[Producto],O36)</f>
        <v>170</v>
      </c>
      <c r="S36" s="28"/>
    </row>
    <row r="37" spans="1:20" x14ac:dyDescent="0.35">
      <c r="A37" s="30" t="s">
        <v>1569</v>
      </c>
      <c r="B37" s="22"/>
      <c r="C37" s="22"/>
      <c r="D37" s="22"/>
      <c r="E37" s="22"/>
      <c r="F37" s="22"/>
      <c r="G37" s="22"/>
      <c r="H37" s="22"/>
      <c r="I37" s="22"/>
      <c r="J37" s="22"/>
      <c r="K37" s="22"/>
      <c r="L37" s="29"/>
      <c r="M37" s="22"/>
      <c r="N37" s="22"/>
      <c r="O37" s="29"/>
      <c r="P37" s="22"/>
      <c r="Q37" s="22"/>
      <c r="R37" s="22"/>
      <c r="S37" s="29"/>
      <c r="T37" s="22"/>
    </row>
    <row r="38" spans="1:20" x14ac:dyDescent="0.35">
      <c r="L38" s="28" t="s">
        <v>1570</v>
      </c>
      <c r="O38" s="7" t="s">
        <v>1590</v>
      </c>
      <c r="S38" s="28" t="s">
        <v>1616</v>
      </c>
    </row>
    <row r="39" spans="1:20" x14ac:dyDescent="0.35">
      <c r="L39" s="28" t="str">
        <f ca="1">_xlfn.FORMULATEXT(O39)</f>
        <v>=BUSCARX("Candela Calvo Coronado";Base_ventas[Nombre_cliente];Base_ventas[ID_cliente];"ID no encontrado")</v>
      </c>
      <c r="O39" s="7">
        <f>_xlfn.XLOOKUP("Candela Calvo Coronado",Base_ventas[Nombre_cliente],Base_ventas[ID_cliente],"ID no encontrado")</f>
        <v>4484</v>
      </c>
      <c r="S39" s="28"/>
    </row>
    <row r="40" spans="1:20" x14ac:dyDescent="0.35">
      <c r="A40" s="30" t="s">
        <v>1599</v>
      </c>
      <c r="B40" s="22"/>
      <c r="C40" s="22"/>
      <c r="D40" s="22"/>
      <c r="E40" s="22"/>
      <c r="F40" s="22"/>
      <c r="G40" s="22"/>
      <c r="H40" s="22"/>
      <c r="I40" s="22"/>
      <c r="J40" s="22"/>
      <c r="K40" s="22"/>
      <c r="L40" s="29"/>
      <c r="M40" s="22"/>
      <c r="N40" s="22"/>
      <c r="O40" s="29"/>
      <c r="P40" s="22"/>
      <c r="Q40" s="22"/>
      <c r="R40" s="22"/>
      <c r="S40" s="29"/>
      <c r="T40" s="22"/>
    </row>
    <row r="41" spans="1:20" ht="18" thickBot="1" x14ac:dyDescent="0.4">
      <c r="L41" s="28" t="s">
        <v>1603</v>
      </c>
      <c r="O41" s="9" t="s">
        <v>14</v>
      </c>
      <c r="P41" s="9" t="s">
        <v>1568</v>
      </c>
      <c r="S41" s="28" t="s">
        <v>1616</v>
      </c>
    </row>
    <row r="42" spans="1:20" ht="18" thickTop="1" x14ac:dyDescent="0.35">
      <c r="L42" s="28" t="str">
        <f ca="1">_xlfn.FORMULATEXT(P42)</f>
        <v>=CONTAR.SI(Base_ventas[Método_pago_2];"Electrónico")</v>
      </c>
      <c r="O42" s="7" t="s">
        <v>1600</v>
      </c>
      <c r="P42" s="7">
        <f>COUNTIF(Base_ventas[Método_pago_2],"Electrónico")</f>
        <v>375</v>
      </c>
      <c r="S42" s="28"/>
    </row>
    <row r="43" spans="1:20" x14ac:dyDescent="0.35">
      <c r="L43" s="28"/>
      <c r="O43" s="7" t="s">
        <v>2</v>
      </c>
      <c r="P43" s="7">
        <f>COUNTIF(Base_ventas[Método_pago_2],"Efectivo")</f>
        <v>125</v>
      </c>
      <c r="S43" s="28"/>
    </row>
    <row r="44" spans="1:20" x14ac:dyDescent="0.35">
      <c r="A44" s="30" t="s">
        <v>1623</v>
      </c>
      <c r="B44" s="30"/>
      <c r="C44" s="30"/>
      <c r="D44" s="30"/>
      <c r="E44" s="30"/>
      <c r="F44" s="22"/>
      <c r="G44" s="22"/>
      <c r="H44" s="22"/>
      <c r="I44" s="22"/>
      <c r="J44" s="22"/>
      <c r="K44" s="22"/>
      <c r="L44" s="29"/>
      <c r="M44" s="22"/>
      <c r="N44" s="22"/>
      <c r="O44" s="29"/>
      <c r="P44" s="22"/>
      <c r="Q44" s="22"/>
      <c r="R44" s="22"/>
      <c r="S44" s="29"/>
      <c r="T44" s="22"/>
    </row>
    <row r="45" spans="1:20" ht="18" thickBot="1" x14ac:dyDescent="0.4">
      <c r="A45" s="4"/>
      <c r="L45" s="28" t="s">
        <v>1603</v>
      </c>
      <c r="O45" s="9" t="s">
        <v>14</v>
      </c>
      <c r="P45" s="9" t="s">
        <v>1568</v>
      </c>
      <c r="S45" s="28" t="s">
        <v>1616</v>
      </c>
    </row>
    <row r="46" spans="1:20" ht="18" thickTop="1" x14ac:dyDescent="0.35">
      <c r="L46" s="28" t="str">
        <f ca="1">_xlfn.FORMULATEXT(P46)</f>
        <v>=CONTAR.SI(Base_ventas[Funcion anidada];"Best seller")</v>
      </c>
      <c r="O46" s="7" t="s">
        <v>1602</v>
      </c>
      <c r="P46" s="7">
        <f>COUNTIF(Base_ventas[Funcion anidada],"Best seller")</f>
        <v>97</v>
      </c>
      <c r="S46" s="28"/>
    </row>
  </sheetData>
  <autoFilter ref="O14:P29" xr:uid="{85918543-FBE1-49E8-83EA-B3F27C1A34F3}"/>
  <sortState xmlns:xlrd2="http://schemas.microsoft.com/office/spreadsheetml/2017/richdata2" ref="O15:P29">
    <sortCondition descending="1" ref="P15:P29"/>
  </sortState>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5D57C-3FA8-4744-B4DA-6EB87F8BAAC4}">
  <sheetPr codeName="Hoja6"/>
  <dimension ref="A1:G16"/>
  <sheetViews>
    <sheetView showGridLines="0" zoomScaleNormal="100" workbookViewId="0">
      <selection activeCell="C13" sqref="C13"/>
    </sheetView>
  </sheetViews>
  <sheetFormatPr baseColWidth="10" defaultColWidth="0" defaultRowHeight="17.25" zeroHeight="1" x14ac:dyDescent="0.35"/>
  <cols>
    <col min="1" max="1" width="16.625" customWidth="1"/>
    <col min="2" max="2" width="11" customWidth="1"/>
    <col min="3" max="3" width="12.625" customWidth="1"/>
    <col min="4" max="4" width="11" customWidth="1"/>
    <col min="5" max="5" width="16.625" customWidth="1"/>
    <col min="6" max="7" width="11" customWidth="1"/>
    <col min="8" max="16384" width="11" hidden="1"/>
  </cols>
  <sheetData>
    <row r="1" spans="1:7" x14ac:dyDescent="0.35">
      <c r="A1" s="2" t="s">
        <v>13</v>
      </c>
      <c r="C1" s="2" t="s">
        <v>14</v>
      </c>
      <c r="E1" s="2" t="s">
        <v>19</v>
      </c>
      <c r="G1" s="3" t="s">
        <v>20</v>
      </c>
    </row>
    <row r="2" spans="1:7" x14ac:dyDescent="0.35">
      <c r="A2" t="s">
        <v>22</v>
      </c>
      <c r="C2" t="s">
        <v>23</v>
      </c>
      <c r="E2" t="s">
        <v>2</v>
      </c>
      <c r="G2" t="s">
        <v>535</v>
      </c>
    </row>
    <row r="3" spans="1:7" x14ac:dyDescent="0.35">
      <c r="A3" t="s">
        <v>24</v>
      </c>
      <c r="C3" t="s">
        <v>25</v>
      </c>
      <c r="E3" t="s">
        <v>4</v>
      </c>
      <c r="G3" t="s">
        <v>537</v>
      </c>
    </row>
    <row r="4" spans="1:7" x14ac:dyDescent="0.35">
      <c r="A4" t="s">
        <v>30</v>
      </c>
      <c r="C4" t="s">
        <v>1</v>
      </c>
      <c r="E4" t="s">
        <v>1549</v>
      </c>
      <c r="G4" t="s">
        <v>539</v>
      </c>
    </row>
    <row r="5" spans="1:7" x14ac:dyDescent="0.35">
      <c r="A5" t="s">
        <v>26</v>
      </c>
      <c r="E5" t="s">
        <v>3</v>
      </c>
      <c r="G5" t="s">
        <v>541</v>
      </c>
    </row>
    <row r="6" spans="1:7" x14ac:dyDescent="0.35">
      <c r="A6" t="s">
        <v>28</v>
      </c>
      <c r="G6" t="s">
        <v>543</v>
      </c>
    </row>
    <row r="7" spans="1:7" x14ac:dyDescent="0.35">
      <c r="G7" t="s">
        <v>545</v>
      </c>
    </row>
    <row r="8" spans="1:7" x14ac:dyDescent="0.35">
      <c r="G8" t="s">
        <v>547</v>
      </c>
    </row>
    <row r="9" spans="1:7" x14ac:dyDescent="0.35">
      <c r="G9" t="s">
        <v>533</v>
      </c>
    </row>
    <row r="10" spans="1:7" x14ac:dyDescent="0.35">
      <c r="G10" t="s">
        <v>561</v>
      </c>
    </row>
    <row r="11" spans="1:7" x14ac:dyDescent="0.35">
      <c r="G11" t="s">
        <v>571</v>
      </c>
    </row>
    <row r="12" spans="1:7" x14ac:dyDescent="0.35">
      <c r="G12" t="s">
        <v>577</v>
      </c>
    </row>
    <row r="13" spans="1:7" x14ac:dyDescent="0.35">
      <c r="G13" t="s">
        <v>579</v>
      </c>
    </row>
    <row r="14" spans="1:7" x14ac:dyDescent="0.35">
      <c r="G14" t="s">
        <v>581</v>
      </c>
    </row>
    <row r="15" spans="1:7" x14ac:dyDescent="0.35">
      <c r="G15" t="s">
        <v>602</v>
      </c>
    </row>
    <row r="16" spans="1:7" x14ac:dyDescent="0.35">
      <c r="G16" t="s">
        <v>622</v>
      </c>
    </row>
  </sheetData>
  <dataValidations count="1">
    <dataValidation type="list" allowBlank="1" showInputMessage="1" showErrorMessage="1" errorTitle="Error" error="La columna Método_pago solo acepta valores en lista." sqref="E8:E11" xr:uid="{E9B26344-F39F-461E-A39A-2B1505C6EF0E}">
      <formula1>$E$2:$E$5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8D5AC-1A1A-4D09-B940-9A1D451B7C9C}">
  <sheetPr codeName="Hoja7"/>
  <dimension ref="A1:JY20"/>
  <sheetViews>
    <sheetView showGridLines="0" zoomScale="85" zoomScaleNormal="85" workbookViewId="0"/>
  </sheetViews>
  <sheetFormatPr baseColWidth="10" defaultColWidth="0" defaultRowHeight="17.25" zeroHeight="1" x14ac:dyDescent="0.35"/>
  <cols>
    <col min="1" max="1" width="11" customWidth="1"/>
    <col min="2" max="2" width="7.875" bestFit="1" customWidth="1"/>
    <col min="3" max="3" width="3.625" customWidth="1"/>
    <col min="4" max="4" width="12.125" bestFit="1" customWidth="1"/>
    <col min="5" max="5" width="3.625" customWidth="1"/>
    <col min="6" max="6" width="15.125" bestFit="1" customWidth="1"/>
    <col min="7" max="7" width="3.625" customWidth="1"/>
    <col min="8" max="8" width="13.625" bestFit="1" customWidth="1"/>
    <col min="9" max="10" width="5.625" customWidth="1"/>
    <col min="11" max="11" width="15.75" bestFit="1" customWidth="1"/>
    <col min="12" max="12" width="8.875" bestFit="1" customWidth="1"/>
    <col min="13" max="13" width="3.625" customWidth="1"/>
    <col min="14" max="14" width="16.375" bestFit="1" customWidth="1"/>
    <col min="15" max="15" width="8.875" bestFit="1" customWidth="1"/>
    <col min="16" max="16" width="3.625" customWidth="1"/>
    <col min="17" max="17" width="12.625" bestFit="1" customWidth="1"/>
    <col min="18" max="18" width="8.875" bestFit="1" customWidth="1"/>
    <col min="19" max="19" width="3.625" customWidth="1"/>
    <col min="20" max="20" width="18.875" bestFit="1" customWidth="1"/>
    <col min="21" max="21" width="10.5" bestFit="1" customWidth="1"/>
    <col min="22" max="22" width="12.875" bestFit="1" customWidth="1"/>
    <col min="23" max="23" width="9.125" bestFit="1" customWidth="1"/>
    <col min="24" max="24" width="12.625" bestFit="1" customWidth="1"/>
    <col min="25" max="29" width="8.875" hidden="1" customWidth="1"/>
    <col min="30" max="35" width="7.875" hidden="1" customWidth="1"/>
    <col min="36" max="50" width="8.875" hidden="1" customWidth="1"/>
    <col min="51" max="57" width="7.875" hidden="1" customWidth="1"/>
    <col min="58" max="71" width="8.875" hidden="1" customWidth="1"/>
    <col min="72" max="77" width="7.875" hidden="1" customWidth="1"/>
    <col min="78" max="96" width="8.875" hidden="1" customWidth="1"/>
    <col min="97" max="102" width="7.875" hidden="1" customWidth="1"/>
    <col min="103" max="120" width="8.875" hidden="1" customWidth="1"/>
    <col min="121" max="129" width="7.875" hidden="1" customWidth="1"/>
    <col min="130" max="144" width="8.875" hidden="1" customWidth="1"/>
    <col min="145" max="151" width="7.875" hidden="1" customWidth="1"/>
    <col min="152" max="171" width="8.875" hidden="1" customWidth="1"/>
    <col min="172" max="178" width="7.875" hidden="1" customWidth="1"/>
    <col min="179" max="194" width="8.875" hidden="1" customWidth="1"/>
    <col min="195" max="199" width="7.875" hidden="1" customWidth="1"/>
    <col min="200" max="223" width="8.875" hidden="1" customWidth="1"/>
    <col min="224" max="241" width="9.875" hidden="1" customWidth="1"/>
    <col min="242" max="245" width="8.875" hidden="1" customWidth="1"/>
    <col min="246" max="263" width="9.875" hidden="1" customWidth="1"/>
    <col min="264" max="270" width="8.875" hidden="1" customWidth="1"/>
    <col min="271" max="284" width="9.875" hidden="1" customWidth="1"/>
    <col min="285" max="285" width="12.625" hidden="1" customWidth="1"/>
    <col min="286" max="16384" width="11" hidden="1"/>
  </cols>
  <sheetData>
    <row r="1" spans="2:24" ht="21.75" x14ac:dyDescent="0.45">
      <c r="B1" s="81" t="s">
        <v>1613</v>
      </c>
      <c r="C1" s="81"/>
      <c r="D1" s="81"/>
      <c r="E1" s="81"/>
      <c r="F1" s="81"/>
      <c r="G1" s="81"/>
      <c r="H1" s="81"/>
      <c r="I1" s="31"/>
      <c r="J1" s="31"/>
      <c r="K1" s="81" t="s">
        <v>1612</v>
      </c>
      <c r="L1" s="81"/>
      <c r="M1" s="81"/>
      <c r="N1" s="81"/>
      <c r="O1" s="81"/>
      <c r="P1" s="81"/>
      <c r="Q1" s="81"/>
      <c r="R1" s="81"/>
      <c r="S1" s="81"/>
      <c r="T1" s="81"/>
      <c r="U1" s="81"/>
      <c r="V1" s="81"/>
      <c r="W1" s="81"/>
      <c r="X1" s="81"/>
    </row>
    <row r="2" spans="2:24" x14ac:dyDescent="0.35">
      <c r="B2" s="22" t="s">
        <v>1574</v>
      </c>
      <c r="D2" s="22" t="s">
        <v>1609</v>
      </c>
      <c r="F2" s="22" t="s">
        <v>1557</v>
      </c>
      <c r="H2" s="22" t="s">
        <v>1610</v>
      </c>
      <c r="K2" s="22" t="s">
        <v>1611</v>
      </c>
      <c r="N2" s="22" t="s">
        <v>1606</v>
      </c>
      <c r="Q2" s="22" t="s">
        <v>1573</v>
      </c>
      <c r="T2" s="22" t="s">
        <v>1607</v>
      </c>
    </row>
    <row r="3" spans="2:24" x14ac:dyDescent="0.35">
      <c r="B3" t="s">
        <v>1574</v>
      </c>
      <c r="D3" t="s">
        <v>1620</v>
      </c>
      <c r="F3" t="s">
        <v>1619</v>
      </c>
      <c r="H3" t="s">
        <v>1564</v>
      </c>
      <c r="K3" s="11" t="s">
        <v>14</v>
      </c>
      <c r="L3" t="s">
        <v>1619</v>
      </c>
      <c r="N3" s="11" t="s">
        <v>13</v>
      </c>
      <c r="O3" t="s">
        <v>1619</v>
      </c>
      <c r="Q3" s="11" t="s">
        <v>1618</v>
      </c>
      <c r="R3" t="s">
        <v>1619</v>
      </c>
      <c r="T3" s="11" t="s">
        <v>1607</v>
      </c>
      <c r="U3" s="11" t="s">
        <v>1617</v>
      </c>
    </row>
    <row r="4" spans="2:24" x14ac:dyDescent="0.35">
      <c r="B4">
        <v>500</v>
      </c>
      <c r="D4" s="20">
        <v>737569636</v>
      </c>
      <c r="F4">
        <v>992</v>
      </c>
      <c r="H4" s="13">
        <v>1.984</v>
      </c>
      <c r="K4" s="12" t="s">
        <v>1</v>
      </c>
      <c r="L4">
        <v>398</v>
      </c>
      <c r="N4" s="12" t="s">
        <v>28</v>
      </c>
      <c r="O4">
        <v>228</v>
      </c>
      <c r="Q4" s="12" t="s">
        <v>1575</v>
      </c>
      <c r="R4">
        <v>77</v>
      </c>
      <c r="T4" s="11" t="s">
        <v>20</v>
      </c>
      <c r="U4" t="s">
        <v>1</v>
      </c>
      <c r="V4" t="s">
        <v>25</v>
      </c>
      <c r="W4" t="s">
        <v>23</v>
      </c>
      <c r="X4" t="s">
        <v>1571</v>
      </c>
    </row>
    <row r="5" spans="2:24" x14ac:dyDescent="0.35">
      <c r="B5">
        <f>GETPIVOTDATA("[Measures].[Recuento de ID_venta]",$B$3)</f>
        <v>500</v>
      </c>
      <c r="D5" s="21">
        <f>GETPIVOTDATA("[Measures].[Suma de Total_venta]",$D$3)</f>
        <v>737569636</v>
      </c>
      <c r="F5">
        <f>GETPIVOTDATA("[Measures].[Suma de Cantidad_vendida]",$F$3)</f>
        <v>992</v>
      </c>
      <c r="H5" s="13">
        <f>GETPIVOTDATA("[Measures].[Promedio de Cantidad_vendida]",$H$3)</f>
        <v>1.984</v>
      </c>
      <c r="K5" s="12" t="s">
        <v>25</v>
      </c>
      <c r="L5">
        <v>390</v>
      </c>
      <c r="N5" s="12" t="s">
        <v>26</v>
      </c>
      <c r="O5">
        <v>220</v>
      </c>
      <c r="Q5" s="12" t="s">
        <v>1576</v>
      </c>
      <c r="R5">
        <v>81</v>
      </c>
      <c r="T5" s="12" t="s">
        <v>579</v>
      </c>
      <c r="U5">
        <v>40</v>
      </c>
      <c r="V5">
        <v>40</v>
      </c>
      <c r="W5">
        <v>19</v>
      </c>
      <c r="X5">
        <v>99</v>
      </c>
    </row>
    <row r="6" spans="2:24" x14ac:dyDescent="0.35">
      <c r="K6" s="12" t="s">
        <v>23</v>
      </c>
      <c r="L6">
        <v>204</v>
      </c>
      <c r="N6" s="12" t="s">
        <v>22</v>
      </c>
      <c r="O6">
        <v>204</v>
      </c>
      <c r="Q6" s="12" t="s">
        <v>1577</v>
      </c>
      <c r="R6">
        <v>64</v>
      </c>
      <c r="T6" s="12" t="s">
        <v>535</v>
      </c>
      <c r="U6">
        <v>29</v>
      </c>
      <c r="V6">
        <v>35</v>
      </c>
      <c r="W6">
        <v>21</v>
      </c>
      <c r="X6">
        <v>85</v>
      </c>
    </row>
    <row r="7" spans="2:24" x14ac:dyDescent="0.35">
      <c r="K7" s="12" t="s">
        <v>1571</v>
      </c>
      <c r="L7">
        <v>992</v>
      </c>
      <c r="N7" s="12" t="s">
        <v>24</v>
      </c>
      <c r="O7">
        <v>170</v>
      </c>
      <c r="Q7" s="12" t="s">
        <v>1578</v>
      </c>
      <c r="R7">
        <v>98</v>
      </c>
      <c r="T7" s="12" t="s">
        <v>537</v>
      </c>
      <c r="U7">
        <v>30</v>
      </c>
      <c r="V7">
        <v>31</v>
      </c>
      <c r="W7">
        <v>13</v>
      </c>
      <c r="X7">
        <v>74</v>
      </c>
    </row>
    <row r="8" spans="2:24" x14ac:dyDescent="0.35">
      <c r="N8" s="12" t="s">
        <v>30</v>
      </c>
      <c r="O8">
        <v>170</v>
      </c>
      <c r="Q8" s="12" t="s">
        <v>1579</v>
      </c>
      <c r="R8">
        <v>92</v>
      </c>
      <c r="T8" s="12" t="s">
        <v>602</v>
      </c>
      <c r="U8">
        <v>32</v>
      </c>
      <c r="V8">
        <v>27</v>
      </c>
      <c r="W8">
        <v>12</v>
      </c>
      <c r="X8">
        <v>71</v>
      </c>
    </row>
    <row r="9" spans="2:24" x14ac:dyDescent="0.35">
      <c r="N9" s="12" t="s">
        <v>1571</v>
      </c>
      <c r="O9">
        <v>992</v>
      </c>
      <c r="Q9" s="12" t="s">
        <v>1572</v>
      </c>
      <c r="R9">
        <v>102</v>
      </c>
      <c r="T9" s="12" t="s">
        <v>545</v>
      </c>
      <c r="U9">
        <v>30</v>
      </c>
      <c r="V9">
        <v>27</v>
      </c>
      <c r="W9">
        <v>12</v>
      </c>
      <c r="X9">
        <v>69</v>
      </c>
    </row>
    <row r="10" spans="2:24" x14ac:dyDescent="0.35">
      <c r="Q10" s="12" t="s">
        <v>1580</v>
      </c>
      <c r="R10">
        <v>95</v>
      </c>
      <c r="T10" s="12" t="s">
        <v>561</v>
      </c>
      <c r="U10">
        <v>36</v>
      </c>
      <c r="V10">
        <v>27</v>
      </c>
      <c r="W10">
        <v>5</v>
      </c>
      <c r="X10">
        <v>68</v>
      </c>
    </row>
    <row r="11" spans="2:24" x14ac:dyDescent="0.35">
      <c r="Q11" s="12" t="s">
        <v>1581</v>
      </c>
      <c r="R11">
        <v>94</v>
      </c>
      <c r="T11" s="12" t="s">
        <v>539</v>
      </c>
      <c r="U11">
        <v>25</v>
      </c>
      <c r="V11">
        <v>31</v>
      </c>
      <c r="W11">
        <v>12</v>
      </c>
      <c r="X11">
        <v>68</v>
      </c>
    </row>
    <row r="12" spans="2:24" x14ac:dyDescent="0.35">
      <c r="Q12" s="12" t="s">
        <v>1582</v>
      </c>
      <c r="R12">
        <v>74</v>
      </c>
      <c r="T12" s="12" t="s">
        <v>533</v>
      </c>
      <c r="U12">
        <v>26</v>
      </c>
      <c r="V12">
        <v>17</v>
      </c>
      <c r="W12">
        <v>18</v>
      </c>
      <c r="X12">
        <v>61</v>
      </c>
    </row>
    <row r="13" spans="2:24" x14ac:dyDescent="0.35">
      <c r="Q13" s="12" t="s">
        <v>1583</v>
      </c>
      <c r="R13">
        <v>93</v>
      </c>
      <c r="T13" s="12" t="s">
        <v>541</v>
      </c>
      <c r="U13">
        <v>31</v>
      </c>
      <c r="V13">
        <v>25</v>
      </c>
      <c r="W13">
        <v>5</v>
      </c>
      <c r="X13">
        <v>61</v>
      </c>
    </row>
    <row r="14" spans="2:24" x14ac:dyDescent="0.35">
      <c r="Q14" s="12" t="s">
        <v>1584</v>
      </c>
      <c r="R14">
        <v>70</v>
      </c>
      <c r="T14" s="12" t="s">
        <v>543</v>
      </c>
      <c r="U14">
        <v>22</v>
      </c>
      <c r="V14">
        <v>21</v>
      </c>
      <c r="W14">
        <v>17</v>
      </c>
      <c r="X14">
        <v>60</v>
      </c>
    </row>
    <row r="15" spans="2:24" x14ac:dyDescent="0.35">
      <c r="Q15" s="12" t="s">
        <v>1585</v>
      </c>
      <c r="R15">
        <v>52</v>
      </c>
      <c r="T15" s="12" t="s">
        <v>581</v>
      </c>
      <c r="U15">
        <v>24</v>
      </c>
      <c r="V15">
        <v>19</v>
      </c>
      <c r="W15">
        <v>16</v>
      </c>
      <c r="X15">
        <v>59</v>
      </c>
    </row>
    <row r="16" spans="2:24" x14ac:dyDescent="0.35">
      <c r="Q16" s="12" t="s">
        <v>1571</v>
      </c>
      <c r="R16">
        <v>992</v>
      </c>
      <c r="T16" s="12" t="s">
        <v>571</v>
      </c>
      <c r="U16">
        <v>18</v>
      </c>
      <c r="V16">
        <v>27</v>
      </c>
      <c r="W16">
        <v>14</v>
      </c>
      <c r="X16">
        <v>59</v>
      </c>
    </row>
    <row r="17" spans="20:24" x14ac:dyDescent="0.35">
      <c r="T17" s="12" t="s">
        <v>577</v>
      </c>
      <c r="U17">
        <v>17</v>
      </c>
      <c r="V17">
        <v>24</v>
      </c>
      <c r="W17">
        <v>16</v>
      </c>
      <c r="X17">
        <v>57</v>
      </c>
    </row>
    <row r="18" spans="20:24" x14ac:dyDescent="0.35">
      <c r="T18" s="12" t="s">
        <v>622</v>
      </c>
      <c r="U18">
        <v>16</v>
      </c>
      <c r="V18">
        <v>19</v>
      </c>
      <c r="W18">
        <v>16</v>
      </c>
      <c r="X18">
        <v>51</v>
      </c>
    </row>
    <row r="19" spans="20:24" x14ac:dyDescent="0.35">
      <c r="T19" s="12" t="s">
        <v>547</v>
      </c>
      <c r="U19">
        <v>22</v>
      </c>
      <c r="V19">
        <v>20</v>
      </c>
      <c r="W19">
        <v>8</v>
      </c>
      <c r="X19">
        <v>50</v>
      </c>
    </row>
    <row r="20" spans="20:24" x14ac:dyDescent="0.35">
      <c r="T20" s="12" t="s">
        <v>1571</v>
      </c>
      <c r="U20">
        <v>398</v>
      </c>
      <c r="V20">
        <v>390</v>
      </c>
      <c r="W20">
        <v>204</v>
      </c>
      <c r="X20">
        <v>992</v>
      </c>
    </row>
  </sheetData>
  <mergeCells count="2">
    <mergeCell ref="B1:H1"/>
    <mergeCell ref="K1:X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435C1-181A-4738-B1E1-179E742024B1}">
  <sheetPr codeName="Hoja8"/>
  <dimension ref="A1:AD57"/>
  <sheetViews>
    <sheetView showGridLines="0" zoomScale="70" zoomScaleNormal="70" workbookViewId="0">
      <selection activeCell="A57" sqref="A57"/>
    </sheetView>
  </sheetViews>
  <sheetFormatPr baseColWidth="10" defaultColWidth="0" defaultRowHeight="17.25" zeroHeight="1" x14ac:dyDescent="0.35"/>
  <cols>
    <col min="1" max="1" width="11" style="17" customWidth="1"/>
    <col min="2" max="2" width="16.25" style="17" customWidth="1"/>
    <col min="3" max="30" width="11" style="17" customWidth="1"/>
    <col min="31" max="16384" width="11" style="17" hidden="1"/>
  </cols>
  <sheetData>
    <row r="1" spans="1:30" ht="16.5" customHeight="1" x14ac:dyDescent="0.8">
      <c r="A1" s="82"/>
      <c r="B1" s="82"/>
      <c r="C1" s="82"/>
      <c r="D1" s="82"/>
      <c r="E1" s="82"/>
      <c r="F1" s="82"/>
      <c r="G1" s="82"/>
      <c r="H1" s="82"/>
      <c r="I1" s="82"/>
      <c r="J1" s="82"/>
      <c r="K1" s="82"/>
      <c r="L1" s="82"/>
      <c r="M1" s="82"/>
      <c r="N1" s="82"/>
      <c r="O1" s="82"/>
      <c r="P1" s="19"/>
      <c r="Q1" s="19"/>
      <c r="R1" s="19"/>
      <c r="S1" s="19"/>
      <c r="T1" s="19"/>
      <c r="U1" s="19"/>
      <c r="V1" s="19"/>
      <c r="W1" s="19"/>
      <c r="X1" s="18"/>
      <c r="Y1" s="18"/>
      <c r="Z1" s="18"/>
      <c r="AA1" s="18"/>
      <c r="AB1" s="18"/>
      <c r="AC1" s="18"/>
      <c r="AD1" s="18"/>
    </row>
    <row r="2" spans="1:30" ht="18" customHeight="1" x14ac:dyDescent="0.8">
      <c r="A2" s="82"/>
      <c r="B2" s="82"/>
      <c r="C2" s="82"/>
      <c r="D2" s="82"/>
      <c r="E2" s="82"/>
      <c r="F2" s="82"/>
      <c r="G2" s="82"/>
      <c r="H2" s="82"/>
      <c r="I2" s="82"/>
      <c r="J2" s="82"/>
      <c r="K2" s="82"/>
      <c r="L2" s="82"/>
      <c r="M2" s="82"/>
      <c r="N2" s="82"/>
      <c r="O2" s="82"/>
      <c r="P2" s="19"/>
      <c r="Q2" s="19"/>
      <c r="R2" s="19"/>
      <c r="S2" s="19"/>
      <c r="T2" s="19"/>
      <c r="U2" s="19"/>
      <c r="V2" s="19"/>
      <c r="W2" s="19"/>
      <c r="X2" s="18"/>
      <c r="Y2" s="18"/>
      <c r="Z2" s="18"/>
      <c r="AA2" s="18"/>
      <c r="AB2" s="18"/>
      <c r="AC2" s="18"/>
      <c r="AD2" s="18"/>
    </row>
    <row r="3" spans="1:30" x14ac:dyDescent="0.35">
      <c r="A3" s="82"/>
      <c r="B3" s="82"/>
      <c r="C3" s="82"/>
      <c r="D3" s="82"/>
      <c r="E3" s="82"/>
      <c r="F3" s="82"/>
      <c r="G3" s="82"/>
      <c r="H3" s="82"/>
      <c r="I3" s="82"/>
      <c r="J3" s="82"/>
      <c r="K3" s="82"/>
      <c r="L3" s="82"/>
      <c r="M3" s="82"/>
      <c r="N3" s="82"/>
      <c r="O3" s="82"/>
      <c r="P3" s="18"/>
      <c r="Q3" s="18"/>
      <c r="R3" s="18"/>
      <c r="S3" s="18"/>
      <c r="T3" s="18"/>
      <c r="U3" s="18"/>
      <c r="V3" s="18"/>
      <c r="W3" s="18"/>
      <c r="X3" s="18"/>
      <c r="Y3" s="18"/>
      <c r="Z3" s="18"/>
      <c r="AA3" s="18"/>
      <c r="AB3" s="18"/>
      <c r="AC3" s="18"/>
      <c r="AD3" s="18"/>
    </row>
    <row r="4" spans="1:30" x14ac:dyDescent="0.35">
      <c r="A4" s="18"/>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row>
    <row r="5" spans="1:30" x14ac:dyDescent="0.35">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row>
    <row r="6" spans="1:30" x14ac:dyDescent="0.35">
      <c r="A6" s="18"/>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row>
    <row r="7" spans="1:30" x14ac:dyDescent="0.35">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row>
    <row r="8" spans="1:30" x14ac:dyDescent="0.3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row>
    <row r="9" spans="1:30" x14ac:dyDescent="0.35">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row>
    <row r="10" spans="1:30" x14ac:dyDescent="0.3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row>
    <row r="11" spans="1:30" x14ac:dyDescent="0.3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row>
    <row r="12" spans="1:30" x14ac:dyDescent="0.35">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row>
    <row r="13" spans="1:30" x14ac:dyDescent="0.35">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row>
    <row r="14" spans="1:30" x14ac:dyDescent="0.35">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row>
    <row r="15" spans="1:30" x14ac:dyDescent="0.35">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row>
    <row r="16" spans="1:30" x14ac:dyDescent="0.35">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row>
    <row r="17" spans="1:30" x14ac:dyDescent="0.35">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row>
    <row r="18" spans="1:30" x14ac:dyDescent="0.35">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row>
    <row r="19" spans="1:30" x14ac:dyDescent="0.35">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row>
    <row r="20" spans="1:30" x14ac:dyDescent="0.3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row>
    <row r="21" spans="1:30" x14ac:dyDescent="0.35">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row>
    <row r="22" spans="1:30" x14ac:dyDescent="0.3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row>
    <row r="23" spans="1:30" x14ac:dyDescent="0.3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row>
    <row r="24" spans="1:30" x14ac:dyDescent="0.3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row>
    <row r="25" spans="1:30" x14ac:dyDescent="0.3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row>
    <row r="26" spans="1:30" x14ac:dyDescent="0.3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row>
    <row r="27" spans="1:30" x14ac:dyDescent="0.3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row>
    <row r="28" spans="1:30" x14ac:dyDescent="0.3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row>
    <row r="29" spans="1:30" x14ac:dyDescent="0.3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row>
    <row r="30" spans="1:30" x14ac:dyDescent="0.35">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row>
    <row r="31" spans="1:30" x14ac:dyDescent="0.35">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row>
    <row r="32" spans="1:30" x14ac:dyDescent="0.3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row>
    <row r="33" spans="1:30" x14ac:dyDescent="0.3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row>
    <row r="34" spans="1:30" x14ac:dyDescent="0.3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row>
    <row r="35" spans="1:30" x14ac:dyDescent="0.3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row>
    <row r="36" spans="1:30" x14ac:dyDescent="0.3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row>
    <row r="37" spans="1:30" x14ac:dyDescent="0.3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row>
    <row r="38" spans="1:30" x14ac:dyDescent="0.3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row>
    <row r="39" spans="1:30" x14ac:dyDescent="0.3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row>
    <row r="40" spans="1:30" x14ac:dyDescent="0.3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row>
    <row r="41" spans="1:30" x14ac:dyDescent="0.35">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row>
    <row r="42" spans="1:30" x14ac:dyDescent="0.3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row>
    <row r="43" spans="1:30" x14ac:dyDescent="0.35">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row>
    <row r="44" spans="1:30" x14ac:dyDescent="0.35">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row>
    <row r="45" spans="1:30" x14ac:dyDescent="0.35">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row>
    <row r="46" spans="1:30" x14ac:dyDescent="0.35">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row>
    <row r="47" spans="1:30" x14ac:dyDescent="0.35">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row>
    <row r="48" spans="1:30" x14ac:dyDescent="0.35">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row>
    <row r="49" spans="1:30" x14ac:dyDescent="0.3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row>
    <row r="50" spans="1:30" x14ac:dyDescent="0.35">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row>
    <row r="51" spans="1:30" x14ac:dyDescent="0.35">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row>
    <row r="52" spans="1:30" x14ac:dyDescent="0.3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x14ac:dyDescent="0.3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row>
    <row r="54" spans="1:30" x14ac:dyDescent="0.3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row>
    <row r="55" spans="1:30" x14ac:dyDescent="0.3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x14ac:dyDescent="0.35">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row>
    <row r="57" spans="1:30" x14ac:dyDescent="0.35">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row>
  </sheetData>
  <mergeCells count="1">
    <mergeCell ref="A1:O3"/>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6BC49-65BD-4A85-9147-7D46DC9C4AC0}">
  <sheetPr codeName="Hoja9"/>
  <dimension ref="A1:A21"/>
  <sheetViews>
    <sheetView zoomScaleNormal="100" workbookViewId="0">
      <selection activeCell="A24" sqref="A24"/>
    </sheetView>
  </sheetViews>
  <sheetFormatPr baseColWidth="10" defaultRowHeight="17.25" x14ac:dyDescent="0.35"/>
  <sheetData>
    <row r="1" spans="1:1" x14ac:dyDescent="0.35">
      <c r="A1" s="5" t="s">
        <v>532</v>
      </c>
    </row>
    <row r="2" spans="1:1" x14ac:dyDescent="0.35">
      <c r="A2" t="s">
        <v>530</v>
      </c>
    </row>
    <row r="3" spans="1:1" x14ac:dyDescent="0.35">
      <c r="A3" t="s">
        <v>284</v>
      </c>
    </row>
    <row r="4" spans="1:1" x14ac:dyDescent="0.35">
      <c r="A4" t="s">
        <v>1548</v>
      </c>
    </row>
    <row r="5" spans="1:1" x14ac:dyDescent="0.35">
      <c r="A5" t="s">
        <v>531</v>
      </c>
    </row>
    <row r="7" spans="1:1" x14ac:dyDescent="0.35">
      <c r="A7" s="5" t="s">
        <v>1551</v>
      </c>
    </row>
    <row r="8" spans="1:1" x14ac:dyDescent="0.35">
      <c r="A8" t="s">
        <v>1553</v>
      </c>
    </row>
    <row r="9" spans="1:1" x14ac:dyDescent="0.35">
      <c r="A9" t="s">
        <v>1556</v>
      </c>
    </row>
    <row r="10" spans="1:1" x14ac:dyDescent="0.35">
      <c r="A10" t="s">
        <v>1554</v>
      </c>
    </row>
    <row r="11" spans="1:1" x14ac:dyDescent="0.35">
      <c r="A11" t="s">
        <v>1555</v>
      </c>
    </row>
    <row r="12" spans="1:1" x14ac:dyDescent="0.35">
      <c r="A12" t="s">
        <v>1594</v>
      </c>
    </row>
    <row r="14" spans="1:1" x14ac:dyDescent="0.35">
      <c r="A14" s="5" t="s">
        <v>1550</v>
      </c>
    </row>
    <row r="15" spans="1:1" x14ac:dyDescent="0.35">
      <c r="A15" t="s">
        <v>1552</v>
      </c>
    </row>
    <row r="17" spans="1:1" x14ac:dyDescent="0.35">
      <c r="A17" s="5" t="s">
        <v>1595</v>
      </c>
    </row>
    <row r="18" spans="1:1" x14ac:dyDescent="0.35">
      <c r="A18" t="s">
        <v>1596</v>
      </c>
    </row>
    <row r="20" spans="1:1" x14ac:dyDescent="0.35">
      <c r="A20" s="5" t="s">
        <v>1604</v>
      </c>
    </row>
    <row r="21" spans="1:1" x14ac:dyDescent="0.35">
      <c r="A21" t="s">
        <v>1605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BD400A16-48BD-4693-87BD-BE31DDED6B9A}">
  <ds:schemaRefs/>
</ds:datastoreItem>
</file>

<file path=customXml/itemProps2.xml><?xml version="1.0" encoding="utf-8"?>
<ds:datastoreItem xmlns:ds="http://schemas.openxmlformats.org/officeDocument/2006/customXml" ds:itemID="{023D8FCD-1615-4359-99EA-43D9C2FC6B11}">
  <ds:schemaRefs/>
</ds:datastoreItem>
</file>

<file path=customXml/itemProps3.xml><?xml version="1.0" encoding="utf-8"?>
<ds:datastoreItem xmlns:ds="http://schemas.openxmlformats.org/officeDocument/2006/customXml" ds:itemID="{C3F91C5C-023C-481D-8438-600D76A6A8AC}">
  <ds:schemaRefs/>
</ds:datastoreItem>
</file>

<file path=customXml/itemProps4.xml><?xml version="1.0" encoding="utf-8"?>
<ds:datastoreItem xmlns:ds="http://schemas.openxmlformats.org/officeDocument/2006/customXml" ds:itemID="{69149519-39A8-450E-B94C-92E6A56D0AAA}">
  <ds:schemaRefs/>
</ds:datastoreItem>
</file>

<file path=customXml/itemProps5.xml><?xml version="1.0" encoding="utf-8"?>
<ds:datastoreItem xmlns:ds="http://schemas.openxmlformats.org/officeDocument/2006/customXml" ds:itemID="{5A4A47D5-6C86-42CA-B47F-8A4D0E560D68}">
  <ds:schemaRefs/>
</ds:datastoreItem>
</file>

<file path=customXml/itemProps6.xml><?xml version="1.0" encoding="utf-8"?>
<ds:datastoreItem xmlns:ds="http://schemas.openxmlformats.org/officeDocument/2006/customXml" ds:itemID="{526EB19A-0335-4F1F-938E-D2F02977B88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Índice</vt:lpstr>
      <vt:lpstr>Storytelling</vt:lpstr>
      <vt:lpstr>Dataset original</vt:lpstr>
      <vt:lpstr>Dataset</vt:lpstr>
      <vt:lpstr>Preguntas y respuestas</vt:lpstr>
      <vt:lpstr>Auxiliar</vt:lpstr>
      <vt:lpstr>Tablas dinámicas</vt:lpstr>
      <vt:lpstr>Dashboard</vt:lpstr>
      <vt:lpstr>Anotaciones personales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juan manuel diez</cp:lastModifiedBy>
  <cp:lastPrinted>2025-07-17T15:21:39Z</cp:lastPrinted>
  <dcterms:created xsi:type="dcterms:W3CDTF">2025-07-11T00:20:28Z</dcterms:created>
  <dcterms:modified xsi:type="dcterms:W3CDTF">2025-08-19T12:59:57Z</dcterms:modified>
</cp:coreProperties>
</file>